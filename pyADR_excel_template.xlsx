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1" autoFilterDateGrouping="1"/>
  </bookViews>
  <sheets>
    <sheet xmlns:r="http://schemas.openxmlformats.org/officeDocument/2006/relationships" name="output data" sheetId="1" state="visible" r:id="rId1"/>
    <sheet xmlns:r="http://schemas.openxmlformats.org/officeDocument/2006/relationships" name="normal isochron" sheetId="2" state="visible" r:id="rId2"/>
    <sheet xmlns:r="http://schemas.openxmlformats.org/officeDocument/2006/relationships" name="inverse isochron" sheetId="3" state="visible" r:id="rId3"/>
    <sheet xmlns:r="http://schemas.openxmlformats.org/officeDocument/2006/relationships" name="Age spectrum" sheetId="4" state="visible" r:id="rId4"/>
    <sheet xmlns:r="http://schemas.openxmlformats.org/officeDocument/2006/relationships" name="Ca-K ratio" sheetId="5" state="visible" r:id="rId5"/>
    <sheet xmlns:r="http://schemas.openxmlformats.org/officeDocument/2006/relationships" name="Cl-K ratio" sheetId="6" state="visible" r:id="rId6"/>
  </sheets>
  <externalReferences>
    <externalReference xmlns:r="http://schemas.openxmlformats.org/officeDocument/2006/relationships" r:id="rId7"/>
  </externalReference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0.00000000_);[Red]\(0.00000000\)"/>
    <numFmt numFmtId="165" formatCode="0.00_);[Red]\(0.00\)"/>
    <numFmt numFmtId="166" formatCode="0.000000000E+00"/>
    <numFmt numFmtId="167" formatCode="0.0000_);[Red]\(0.0000\)"/>
  </numFmts>
  <fonts count="22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0"/>
    </font>
    <font>
      <name val="新細明體"/>
      <charset val="136"/>
      <family val="1"/>
      <color rgb="FF000000"/>
      <sz val="10"/>
      <scheme val="minor"/>
    </font>
    <font>
      <name val="新細明體"/>
      <family val="2"/>
      <color rgb="FF000000"/>
      <sz val="10"/>
      <scheme val="minor"/>
    </font>
    <font>
      <name val="Times New Roman"/>
      <family val="1"/>
      <color theme="1"/>
      <sz val="10"/>
    </font>
    <font>
      <name val="新細明體"/>
      <charset val="136"/>
      <family val="2"/>
      <sz val="9"/>
      <scheme val="minor"/>
    </font>
    <font>
      <name val="Noto Sans Symbols"/>
      <family val="2"/>
      <color theme="1"/>
      <sz val="10"/>
    </font>
    <font>
      <name val="Verdana"/>
      <family val="2"/>
      <color theme="1"/>
      <sz val="10"/>
    </font>
    <font>
      <name val="Verdana"/>
      <charset val="136"/>
      <family val="2"/>
      <color theme="1"/>
      <sz val="10"/>
    </font>
    <font>
      <name val="Arial"/>
      <charset val="136"/>
      <family val="2"/>
      <color rgb="FF000000"/>
      <sz val="10"/>
    </font>
    <font>
      <name val="Microsoft JhengHei"/>
      <charset val="136"/>
      <family val="2"/>
      <color rgb="FF000000"/>
      <sz val="10"/>
    </font>
    <font>
      <name val="Segoe UI"/>
      <family val="2"/>
      <color theme="1"/>
      <sz val="10"/>
    </font>
    <font>
      <name val="Segoe UI"/>
      <charset val="161"/>
      <family val="1"/>
      <color theme="1"/>
      <sz val="10"/>
    </font>
    <font>
      <name val="Arial"/>
      <charset val="161"/>
      <family val="1"/>
      <color rgb="FF000000"/>
      <sz val="10"/>
    </font>
    <font>
      <name val="新細明體"/>
      <charset val="136"/>
      <family val="2"/>
      <color rgb="FF000000"/>
      <sz val="10"/>
      <scheme val="minor"/>
    </font>
    <font>
      <name val="Verdana"/>
      <family val="2"/>
      <color rgb="FF000000"/>
      <sz val="10"/>
    </font>
    <font>
      <name val="Times New Roman"/>
      <family val="1"/>
      <b val="1"/>
      <color theme="1"/>
      <sz val="10"/>
    </font>
    <font>
      <name val="Arial"/>
      <family val="2"/>
      <b val="1"/>
      <color theme="1"/>
      <sz val="10"/>
    </font>
    <font>
      <name val="Noto Sans Symbols"/>
      <family val="2"/>
      <b val="1"/>
      <color theme="1"/>
      <sz val="10"/>
    </font>
    <font>
      <name val="新細明體"/>
      <family val="2"/>
      <b val="1"/>
      <color rgb="FF000000"/>
      <sz val="10"/>
      <scheme val="minor"/>
    </font>
    <font>
      <name val="Calibri"/>
      <family val="2"/>
      <color theme="1"/>
      <sz val="11"/>
    </font>
    <font>
      <name val="Calibri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1499984740745262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2" tint="-0.1499984740745262"/>
      </bottom>
      <diagonal/>
    </border>
    <border>
      <left/>
      <right style="thin">
        <color theme="2" tint="-0.1499984740745262"/>
      </right>
      <top/>
      <bottom style="thin">
        <color theme="2" tint="-0.1499984740745262"/>
      </bottom>
      <diagonal/>
    </border>
    <border>
      <left style="thin">
        <color theme="2" tint="-0.1499984740745262"/>
      </left>
      <right style="thin">
        <color theme="1"/>
      </right>
      <top style="thin">
        <color theme="1"/>
      </top>
      <bottom style="thin">
        <color theme="2" tint="-0.1499984740745262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1499984740745262"/>
      </right>
      <top/>
      <bottom/>
      <diagonal/>
    </border>
    <border>
      <left/>
      <right style="thin">
        <color theme="2" tint="-0.1499984740745262"/>
      </right>
      <top/>
      <bottom/>
      <diagonal/>
    </border>
    <border>
      <left style="thin">
        <color theme="2" tint="-0.1499984740745262"/>
      </left>
      <right style="thin">
        <color theme="1"/>
      </right>
      <top style="thin">
        <color theme="2" tint="-0.1499984740745262"/>
      </top>
      <bottom style="thin">
        <color theme="2" tint="-0.1499984740745262"/>
      </bottom>
      <diagonal/>
    </border>
    <border>
      <left/>
      <right style="thin">
        <color indexed="64"/>
      </right>
      <top style="thin">
        <color theme="2" tint="-0.1499984740745262"/>
      </top>
      <bottom style="thin">
        <color theme="2" tint="-0.1499984740745262"/>
      </bottom>
      <diagonal/>
    </border>
    <border>
      <left/>
      <right style="thin">
        <color theme="2" tint="-0.1499984740745262"/>
      </right>
      <top style="thin">
        <color theme="2" tint="-0.1499984740745262"/>
      </top>
      <bottom style="thin">
        <color theme="2" tint="-0.1499984740745262"/>
      </bottom>
      <diagonal/>
    </border>
    <border>
      <left style="thin">
        <color theme="2" tint="-0.1499984740745262"/>
      </left>
      <right style="thin">
        <color theme="1"/>
      </right>
      <top/>
      <bottom style="thin">
        <color theme="2" tint="-0.1499984740745262"/>
      </bottom>
      <diagonal/>
    </border>
    <border>
      <left style="thin">
        <color theme="2" tint="-0.1499984740745262"/>
      </left>
      <right style="thin">
        <color theme="1"/>
      </right>
      <top/>
      <bottom/>
      <diagonal/>
    </border>
    <border>
      <left/>
      <right style="thin">
        <color theme="2" tint="-0.1499984740745262"/>
      </right>
      <top style="thin">
        <color theme="2" tint="-0.1499984740745262"/>
      </top>
      <bottom/>
      <diagonal/>
    </border>
    <border>
      <left style="thin">
        <color theme="2" tint="-0.1499984740745262"/>
      </left>
      <right style="thin">
        <color theme="1"/>
      </right>
      <top style="thin">
        <color theme="2" tint="-0.1499984740745262"/>
      </top>
      <bottom/>
      <diagonal/>
    </border>
    <border>
      <left/>
      <right style="thin">
        <color indexed="64"/>
      </right>
      <top style="thin">
        <color theme="2" tint="-0.1499984740745262"/>
      </top>
      <bottom/>
      <diagonal/>
    </border>
    <border>
      <left style="thin">
        <color indexed="64"/>
      </left>
      <right style="thin">
        <color theme="2" tint="-0.1499984740745262"/>
      </right>
      <top style="thin">
        <color theme="2" tint="-0.1499984740745262"/>
      </top>
      <bottom style="thin">
        <color theme="2" tint="-0.149998474074526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2" tint="-0.1499984740745262"/>
      </right>
      <top/>
      <bottom style="medium">
        <color indexed="64"/>
      </bottom>
      <diagonal/>
    </border>
    <border>
      <left/>
      <right style="thin">
        <color theme="2" tint="-0.1499984740745262"/>
      </right>
      <top style="thin">
        <color theme="2" tint="-0.1499984740745262"/>
      </top>
      <bottom style="medium">
        <color indexed="64"/>
      </bottom>
      <diagonal/>
    </border>
    <border>
      <left style="thin">
        <color theme="2" tint="-0.1499984740745262"/>
      </left>
      <right style="thin">
        <color theme="1"/>
      </right>
      <top style="thin">
        <color theme="2" tint="-0.1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2" tint="-0.1499984740745262"/>
      </bottom>
      <diagonal/>
    </border>
  </borders>
  <cellStyleXfs count="6">
    <xf numFmtId="0" fontId="0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center" wrapText="1"/>
    </xf>
    <xf numFmtId="0" fontId="6" fillId="0" borderId="0" applyAlignment="1" pivotButton="0" quotePrefix="0" xfId="1">
      <alignment horizontal="center" wrapText="1"/>
    </xf>
    <xf numFmtId="0" fontId="3" fillId="0" borderId="0" pivotButton="0" quotePrefix="0" xfId="1"/>
    <xf numFmtId="0" fontId="3" fillId="0" borderId="0" pivotButton="0" quotePrefix="0" xfId="3"/>
    <xf numFmtId="0" fontId="4" fillId="0" borderId="0" applyAlignment="1" pivotButton="0" quotePrefix="0" xfId="3">
      <alignment horizontal="center" wrapText="1"/>
    </xf>
    <xf numFmtId="0" fontId="3" fillId="0" borderId="1" pivotButton="0" quotePrefix="0" xfId="3"/>
    <xf numFmtId="0" fontId="2" fillId="0" borderId="0" pivotButton="0" quotePrefix="0" xfId="3"/>
    <xf numFmtId="11" fontId="2" fillId="0" borderId="0" pivotButton="0" quotePrefix="0" xfId="3"/>
    <xf numFmtId="0" fontId="9" fillId="0" borderId="0" pivotButton="0" quotePrefix="0" xfId="3"/>
    <xf numFmtId="0" fontId="10" fillId="0" borderId="0" pivotButton="0" quotePrefix="0" xfId="3"/>
    <xf numFmtId="0" fontId="4" fillId="0" borderId="0" applyAlignment="1" pivotButton="0" quotePrefix="0" xfId="4">
      <alignment horizontal="center" wrapText="1"/>
    </xf>
    <xf numFmtId="0" fontId="11" fillId="0" borderId="0" pivotButton="0" quotePrefix="0" xfId="4"/>
    <xf numFmtId="0" fontId="12" fillId="0" borderId="0" pivotButton="0" quotePrefix="0" xfId="4"/>
    <xf numFmtId="0" fontId="13" fillId="0" borderId="0" pivotButton="0" quotePrefix="0" xfId="4"/>
    <xf numFmtId="11" fontId="2" fillId="0" borderId="0" pivotButton="0" quotePrefix="0" xfId="4"/>
    <xf numFmtId="0" fontId="14" fillId="0" borderId="0" pivotButton="0" quotePrefix="0" xfId="4"/>
    <xf numFmtId="0" fontId="2" fillId="0" borderId="0" pivotButton="0" quotePrefix="0" xfId="4"/>
    <xf numFmtId="0" fontId="3" fillId="0" borderId="0" applyAlignment="1" pivotButton="0" quotePrefix="0" xfId="4">
      <alignment horizontal="centerContinuous"/>
    </xf>
    <xf numFmtId="0" fontId="3" fillId="0" borderId="0" pivotButton="0" quotePrefix="0" xfId="4"/>
    <xf numFmtId="0" fontId="3" fillId="0" borderId="0" applyAlignment="1" pivotButton="0" quotePrefix="0" xfId="4">
      <alignment horizontal="center"/>
    </xf>
    <xf numFmtId="0" fontId="3" fillId="0" borderId="0" applyAlignment="1" pivotButton="0" quotePrefix="0" xfId="4">
      <alignment vertical="center" wrapText="1"/>
    </xf>
    <xf numFmtId="0" fontId="2" fillId="0" borderId="0" applyAlignment="1" pivotButton="0" quotePrefix="0" xfId="4">
      <alignment vertical="center" wrapText="1"/>
    </xf>
    <xf numFmtId="0" fontId="7" fillId="0" borderId="0" pivotButton="0" quotePrefix="0" xfId="5"/>
    <xf numFmtId="11" fontId="3" fillId="0" borderId="0" applyAlignment="1" pivotButton="0" quotePrefix="0" xfId="5">
      <alignment vertical="center"/>
    </xf>
    <xf numFmtId="0" fontId="7" fillId="0" borderId="0" applyAlignment="1" pivotButton="0" quotePrefix="0" xfId="5">
      <alignment wrapText="1"/>
    </xf>
    <xf numFmtId="0" fontId="7" fillId="0" borderId="0" applyAlignment="1" pivotButton="0" quotePrefix="0" xfId="5">
      <alignment vertical="center"/>
    </xf>
    <xf numFmtId="11" fontId="15" fillId="0" borderId="0" pivotButton="0" quotePrefix="0" xfId="5"/>
    <xf numFmtId="0" fontId="16" fillId="2" borderId="2" applyAlignment="1" pivotButton="0" quotePrefix="0" xfId="5">
      <alignment horizontal="center" wrapText="1"/>
    </xf>
    <xf numFmtId="0" fontId="16" fillId="2" borderId="3" applyAlignment="1" pivotButton="0" quotePrefix="0" xfId="5">
      <alignment horizontal="center" wrapText="1"/>
    </xf>
    <xf numFmtId="0" fontId="16" fillId="2" borderId="4" applyAlignment="1" pivotButton="0" quotePrefix="0" xfId="5">
      <alignment horizontal="center" wrapText="1"/>
    </xf>
    <xf numFmtId="0" fontId="17" fillId="2" borderId="3" applyAlignment="1" pivotButton="0" quotePrefix="0" xfId="5">
      <alignment horizontal="center" wrapText="1"/>
    </xf>
    <xf numFmtId="0" fontId="16" fillId="2" borderId="5" applyAlignment="1" pivotButton="0" quotePrefix="0" xfId="5">
      <alignment horizontal="center" wrapText="1"/>
    </xf>
    <xf numFmtId="0" fontId="16" fillId="2" borderId="6" applyAlignment="1" pivotButton="0" quotePrefix="0" xfId="5">
      <alignment horizontal="center" wrapText="1"/>
    </xf>
    <xf numFmtId="0" fontId="18" fillId="2" borderId="3" applyAlignment="1" pivotButton="0" quotePrefix="0" xfId="5">
      <alignment horizontal="center" wrapText="1"/>
    </xf>
    <xf numFmtId="0" fontId="16" fillId="2" borderId="7" applyAlignment="1" pivotButton="0" quotePrefix="0" xfId="5">
      <alignment horizontal="center" wrapText="1"/>
    </xf>
    <xf numFmtId="0" fontId="19" fillId="0" borderId="0" applyAlignment="1" pivotButton="0" quotePrefix="0" xfId="5">
      <alignment vertical="center"/>
    </xf>
    <xf numFmtId="0" fontId="20" fillId="3" borderId="8" applyAlignment="1" pivotButton="0" quotePrefix="0" xfId="5">
      <alignment wrapText="1"/>
    </xf>
    <xf numFmtId="0" fontId="21" fillId="3" borderId="9" applyAlignment="1" pivotButton="0" quotePrefix="0" xfId="5">
      <alignment horizontal="center" wrapText="1"/>
    </xf>
    <xf numFmtId="0" fontId="7" fillId="4" borderId="10" applyAlignment="1" pivotButton="0" quotePrefix="0" xfId="5">
      <alignment horizontal="center" wrapText="1"/>
    </xf>
    <xf numFmtId="0" fontId="7" fillId="0" borderId="11" applyAlignment="1" pivotButton="0" quotePrefix="0" xfId="5">
      <alignment horizontal="center" wrapText="1"/>
    </xf>
    <xf numFmtId="0" fontId="7" fillId="4" borderId="12" applyAlignment="1" pivotButton="0" quotePrefix="0" xfId="5">
      <alignment horizontal="center" wrapText="1"/>
    </xf>
    <xf numFmtId="0" fontId="20" fillId="0" borderId="13" applyAlignment="1" pivotButton="0" quotePrefix="0" xfId="5">
      <alignment horizontal="center" wrapText="1"/>
    </xf>
    <xf numFmtId="0" fontId="20" fillId="0" borderId="14" applyAlignment="1" pivotButton="0" quotePrefix="0" xfId="5">
      <alignment wrapText="1"/>
    </xf>
    <xf numFmtId="0" fontId="20" fillId="0" borderId="1" applyAlignment="1" pivotButton="0" quotePrefix="0" xfId="5">
      <alignment wrapText="1"/>
    </xf>
    <xf numFmtId="0" fontId="7" fillId="0" borderId="14" applyAlignment="1" pivotButton="0" quotePrefix="0" xfId="5">
      <alignment horizontal="center" wrapText="1"/>
    </xf>
    <xf numFmtId="0" fontId="7" fillId="0" borderId="1" applyAlignment="1" pivotButton="0" quotePrefix="0" xfId="5">
      <alignment horizontal="center" wrapText="1"/>
    </xf>
    <xf numFmtId="0" fontId="20" fillId="0" borderId="11" applyAlignment="1" pivotButton="0" quotePrefix="0" xfId="5">
      <alignment wrapText="1"/>
    </xf>
    <xf numFmtId="0" fontId="20" fillId="0" borderId="15" applyAlignment="1" pivotButton="0" quotePrefix="0" xfId="5">
      <alignment wrapText="1"/>
    </xf>
    <xf numFmtId="0" fontId="20" fillId="0" borderId="9" applyAlignment="1" pivotButton="0" quotePrefix="0" xfId="5">
      <alignment wrapText="1"/>
    </xf>
    <xf numFmtId="0" fontId="7" fillId="0" borderId="16" applyAlignment="1" pivotButton="0" quotePrefix="0" xfId="5">
      <alignment horizontal="center" wrapText="1"/>
    </xf>
    <xf numFmtId="0" fontId="3" fillId="0" borderId="17" applyAlignment="1" pivotButton="0" quotePrefix="0" xfId="5">
      <alignment horizontal="center" vertical="center"/>
    </xf>
    <xf numFmtId="0" fontId="7" fillId="3" borderId="16" applyAlignment="1" pivotButton="0" quotePrefix="0" xfId="5">
      <alignment horizontal="center" wrapText="1"/>
    </xf>
    <xf numFmtId="0" fontId="20" fillId="3" borderId="1" applyAlignment="1" pivotButton="0" quotePrefix="0" xfId="5">
      <alignment horizontal="center" wrapText="1"/>
    </xf>
    <xf numFmtId="11" fontId="8" fillId="5" borderId="21" applyAlignment="1" pivotButton="0" quotePrefix="0" xfId="5">
      <alignment horizontal="center" wrapText="1"/>
    </xf>
    <xf numFmtId="11" fontId="7" fillId="4" borderId="22" applyAlignment="1" pivotButton="0" quotePrefix="0" xfId="5">
      <alignment horizontal="center" wrapText="1"/>
    </xf>
    <xf numFmtId="11" fontId="7" fillId="4" borderId="23" applyAlignment="1" pivotButton="0" quotePrefix="0" xfId="5">
      <alignment horizontal="center" wrapText="1"/>
    </xf>
    <xf numFmtId="11" fontId="7" fillId="4" borderId="24" applyAlignment="1" pivotButton="0" quotePrefix="0" xfId="5">
      <alignment horizontal="center" wrapText="1"/>
    </xf>
    <xf numFmtId="0" fontId="3" fillId="0" borderId="0" applyAlignment="1" pivotButton="0" quotePrefix="0" xfId="5">
      <alignment vertical="center"/>
    </xf>
    <xf numFmtId="11" fontId="7" fillId="5" borderId="28" applyAlignment="1" pivotButton="0" quotePrefix="0" xfId="5">
      <alignment horizontal="center" wrapText="1"/>
    </xf>
    <xf numFmtId="11" fontId="7" fillId="4" borderId="29" applyAlignment="1" pivotButton="0" quotePrefix="0" xfId="5">
      <alignment horizontal="center" wrapText="1"/>
    </xf>
    <xf numFmtId="11" fontId="7" fillId="4" borderId="30" applyAlignment="1" pivotButton="0" quotePrefix="0" xfId="5">
      <alignment horizontal="center" wrapText="1"/>
    </xf>
    <xf numFmtId="11" fontId="7" fillId="4" borderId="31" applyAlignment="1" pivotButton="0" quotePrefix="0" xfId="5">
      <alignment horizontal="center" wrapText="1"/>
    </xf>
    <xf numFmtId="11" fontId="7" fillId="4" borderId="32" applyAlignment="1" pivotButton="0" quotePrefix="0" xfId="5">
      <alignment horizontal="center" wrapText="1"/>
    </xf>
    <xf numFmtId="11" fontId="7" fillId="4" borderId="1" applyAlignment="1" pivotButton="0" quotePrefix="0" xfId="5">
      <alignment horizontal="center" wrapText="1"/>
    </xf>
    <xf numFmtId="11" fontId="7" fillId="4" borderId="33" applyAlignment="1" pivotButton="0" quotePrefix="0" xfId="5">
      <alignment horizontal="center" wrapText="1"/>
    </xf>
    <xf numFmtId="11" fontId="7" fillId="4" borderId="34" applyAlignment="1" pivotButton="0" quotePrefix="0" xfId="5">
      <alignment horizontal="center" wrapText="1"/>
    </xf>
    <xf numFmtId="11" fontId="7" fillId="4" borderId="35" applyAlignment="1" pivotButton="0" quotePrefix="0" xfId="5">
      <alignment horizontal="center" wrapText="1"/>
    </xf>
    <xf numFmtId="11" fontId="7" fillId="4" borderId="36" applyAlignment="1" pivotButton="0" quotePrefix="0" xfId="5">
      <alignment horizontal="center" wrapText="1"/>
    </xf>
    <xf numFmtId="11" fontId="7" fillId="4" borderId="37" applyAlignment="1" pivotButton="0" quotePrefix="0" xfId="5">
      <alignment horizontal="center" wrapText="1"/>
    </xf>
    <xf numFmtId="11" fontId="7" fillId="5" borderId="38" applyAlignment="1" pivotButton="0" quotePrefix="0" xfId="5">
      <alignment horizontal="center" wrapText="1"/>
    </xf>
    <xf numFmtId="0" fontId="7" fillId="3" borderId="39" applyAlignment="1" pivotButton="0" quotePrefix="0" xfId="5">
      <alignment horizontal="center" wrapText="1"/>
    </xf>
    <xf numFmtId="0" fontId="20" fillId="3" borderId="40" applyAlignment="1" pivotButton="0" quotePrefix="0" xfId="5">
      <alignment horizontal="center" wrapText="1"/>
    </xf>
    <xf numFmtId="11" fontId="7" fillId="5" borderId="44" applyAlignment="1" pivotButton="0" quotePrefix="0" xfId="5">
      <alignment horizontal="center" wrapText="1"/>
    </xf>
    <xf numFmtId="11" fontId="7" fillId="4" borderId="40" applyAlignment="1" pivotButton="0" quotePrefix="0" xfId="5">
      <alignment horizontal="center" wrapText="1"/>
    </xf>
    <xf numFmtId="11" fontId="7" fillId="4" borderId="45" applyAlignment="1" pivotButton="0" quotePrefix="0" xfId="5">
      <alignment horizontal="center" wrapText="1"/>
    </xf>
    <xf numFmtId="11" fontId="7" fillId="4" borderId="46" applyAlignment="1" pivotButton="0" quotePrefix="0" xfId="5">
      <alignment horizontal="center" wrapText="1"/>
    </xf>
    <xf numFmtId="0" fontId="20" fillId="0" borderId="0" applyAlignment="1" pivotButton="0" quotePrefix="0" xfId="5">
      <alignment wrapText="1"/>
    </xf>
    <xf numFmtId="11" fontId="7" fillId="0" borderId="0" applyAlignment="1" pivotButton="0" quotePrefix="0" xfId="5">
      <alignment horizontal="center" wrapText="1"/>
    </xf>
    <xf numFmtId="0" fontId="7" fillId="0" borderId="0" applyAlignment="1" pivotButton="0" quotePrefix="0" xfId="5">
      <alignment horizontal="center" wrapText="1"/>
    </xf>
    <xf numFmtId="0" fontId="20" fillId="0" borderId="0" pivotButton="0" quotePrefix="0" xfId="5"/>
    <xf numFmtId="11" fontId="20" fillId="0" borderId="0" applyAlignment="1" pivotButton="0" quotePrefix="0" xfId="5">
      <alignment wrapText="1"/>
    </xf>
    <xf numFmtId="0" fontId="20" fillId="0" borderId="48" applyAlignment="1" pivotButton="0" quotePrefix="0" xfId="5">
      <alignment wrapText="1"/>
    </xf>
    <xf numFmtId="164" fontId="7" fillId="3" borderId="0" applyAlignment="1" pivotButton="0" quotePrefix="0" xfId="5">
      <alignment horizontal="center" wrapText="1"/>
    </xf>
    <xf numFmtId="164" fontId="7" fillId="0" borderId="1" applyAlignment="1" pivotButton="0" quotePrefix="0" xfId="5">
      <alignment horizontal="center" wrapText="1"/>
    </xf>
    <xf numFmtId="164" fontId="7" fillId="3" borderId="18" applyAlignment="1" pivotButton="0" quotePrefix="0" xfId="5">
      <alignment horizontal="center" wrapText="1"/>
    </xf>
    <xf numFmtId="164" fontId="7" fillId="0" borderId="13" applyAlignment="1" pivotButton="0" quotePrefix="0" xfId="5">
      <alignment horizontal="center" wrapText="1"/>
    </xf>
    <xf numFmtId="164" fontId="7" fillId="3" borderId="19" applyAlignment="1" pivotButton="0" quotePrefix="0" xfId="5">
      <alignment horizontal="center" wrapText="1"/>
    </xf>
    <xf numFmtId="164" fontId="7" fillId="0" borderId="20" applyAlignment="1" pivotButton="0" quotePrefix="0" xfId="5">
      <alignment horizontal="center" wrapText="1"/>
    </xf>
    <xf numFmtId="165" fontId="7" fillId="5" borderId="18" applyAlignment="1" pivotButton="0" quotePrefix="0" xfId="5">
      <alignment horizontal="center" wrapText="1"/>
    </xf>
    <xf numFmtId="165" fontId="7" fillId="0" borderId="20" applyAlignment="1" pivotButton="0" quotePrefix="0" xfId="5">
      <alignment horizontal="center" wrapText="1"/>
    </xf>
    <xf numFmtId="165" fontId="7" fillId="0" borderId="25" applyAlignment="1" pivotButton="0" quotePrefix="0" xfId="5">
      <alignment horizontal="center" wrapText="1"/>
    </xf>
    <xf numFmtId="165" fontId="8" fillId="0" borderId="26" applyAlignment="1" pivotButton="0" quotePrefix="0" xfId="5">
      <alignment horizontal="center" wrapText="1"/>
    </xf>
    <xf numFmtId="165" fontId="8" fillId="3" borderId="27" applyAlignment="1" pivotButton="0" quotePrefix="0" xfId="5">
      <alignment horizontal="center" wrapText="1"/>
    </xf>
    <xf numFmtId="166" fontId="3" fillId="0" borderId="0" applyAlignment="1" pivotButton="0" quotePrefix="0" xfId="5">
      <alignment vertical="center"/>
    </xf>
    <xf numFmtId="164" fontId="7" fillId="3" borderId="13" applyAlignment="1" pivotButton="0" quotePrefix="0" xfId="5">
      <alignment horizontal="center" wrapText="1"/>
    </xf>
    <xf numFmtId="164" fontId="7" fillId="3" borderId="14" applyAlignment="1" pivotButton="0" quotePrefix="0" xfId="5">
      <alignment horizontal="center" wrapText="1"/>
    </xf>
    <xf numFmtId="165" fontId="7" fillId="5" borderId="14" applyAlignment="1" pivotButton="0" quotePrefix="0" xfId="5">
      <alignment horizontal="center" wrapText="1"/>
    </xf>
    <xf numFmtId="165" fontId="7" fillId="0" borderId="1" applyAlignment="1" pivotButton="0" quotePrefix="0" xfId="5">
      <alignment horizontal="center" wrapText="1"/>
    </xf>
    <xf numFmtId="165" fontId="7" fillId="0" borderId="0" applyAlignment="1" pivotButton="0" quotePrefix="0" xfId="5">
      <alignment horizontal="center" wrapText="1"/>
    </xf>
    <xf numFmtId="165" fontId="8" fillId="0" borderId="16" applyAlignment="1" pivotButton="0" quotePrefix="0" xfId="5">
      <alignment horizontal="center" wrapText="1"/>
    </xf>
    <xf numFmtId="165" fontId="8" fillId="3" borderId="17" applyAlignment="1" pivotButton="0" quotePrefix="0" xfId="5">
      <alignment horizontal="center" wrapText="1"/>
    </xf>
    <xf numFmtId="165" fontId="1" fillId="0" borderId="0" applyAlignment="1" pivotButton="0" quotePrefix="0" xfId="5">
      <alignment horizontal="center" wrapText="1"/>
    </xf>
    <xf numFmtId="165" fontId="7" fillId="3" borderId="17" applyAlignment="1" pivotButton="0" quotePrefix="0" xfId="5">
      <alignment horizontal="center" wrapText="1"/>
    </xf>
    <xf numFmtId="165" fontId="8" fillId="0" borderId="0" applyAlignment="1" pivotButton="0" quotePrefix="0" xfId="5">
      <alignment horizontal="center" wrapText="1"/>
    </xf>
    <xf numFmtId="164" fontId="7" fillId="3" borderId="41" applyAlignment="1" pivotButton="0" quotePrefix="0" xfId="5">
      <alignment horizontal="center" wrapText="1"/>
    </xf>
    <xf numFmtId="164" fontId="7" fillId="0" borderId="40" applyAlignment="1" pivotButton="0" quotePrefix="0" xfId="5">
      <alignment horizontal="center" wrapText="1"/>
    </xf>
    <xf numFmtId="164" fontId="7" fillId="0" borderId="42" applyAlignment="1" pivotButton="0" quotePrefix="0" xfId="5">
      <alignment horizontal="center" wrapText="1"/>
    </xf>
    <xf numFmtId="164" fontId="7" fillId="3" borderId="42" applyAlignment="1" pivotButton="0" quotePrefix="0" xfId="5">
      <alignment horizontal="center" wrapText="1"/>
    </xf>
    <xf numFmtId="164" fontId="7" fillId="3" borderId="43" applyAlignment="1" pivotButton="0" quotePrefix="0" xfId="5">
      <alignment horizontal="center" wrapText="1"/>
    </xf>
    <xf numFmtId="165" fontId="7" fillId="5" borderId="43" applyAlignment="1" pivotButton="0" quotePrefix="0" xfId="5">
      <alignment horizontal="center" wrapText="1"/>
    </xf>
    <xf numFmtId="165" fontId="7" fillId="0" borderId="40" applyAlignment="1" pivotButton="0" quotePrefix="0" xfId="5">
      <alignment horizontal="center" wrapText="1"/>
    </xf>
    <xf numFmtId="165" fontId="7" fillId="0" borderId="41" applyAlignment="1" pivotButton="0" quotePrefix="0" xfId="5">
      <alignment horizontal="center" wrapText="1"/>
    </xf>
    <xf numFmtId="165" fontId="8" fillId="0" borderId="39" applyAlignment="1" pivotButton="0" quotePrefix="0" xfId="5">
      <alignment horizontal="center" wrapText="1"/>
    </xf>
    <xf numFmtId="165" fontId="8" fillId="3" borderId="47" applyAlignment="1" pivotButton="0" quotePrefix="0" xfId="5">
      <alignment horizontal="center" wrapText="1"/>
    </xf>
    <xf numFmtId="166" fontId="7" fillId="0" borderId="0" applyAlignment="1" pivotButton="0" quotePrefix="0" xfId="5">
      <alignment horizontal="center" wrapText="1"/>
    </xf>
    <xf numFmtId="165" fontId="7" fillId="0" borderId="0" applyAlignment="1" pivotButton="0" quotePrefix="0" xfId="1">
      <alignment horizontal="center" wrapText="1"/>
    </xf>
    <xf numFmtId="165" fontId="8" fillId="0" borderId="0" applyAlignment="1" pivotButton="0" quotePrefix="0" xfId="1">
      <alignment horizontal="center" wrapText="1"/>
    </xf>
    <xf numFmtId="165" fontId="3" fillId="0" borderId="0" pivotButton="0" quotePrefix="0" xfId="1"/>
    <xf numFmtId="167" fontId="2" fillId="0" borderId="0" pivotButton="0" quotePrefix="0" xfId="3"/>
    <xf numFmtId="165" fontId="2" fillId="0" borderId="1" pivotButton="0" quotePrefix="0" xfId="3"/>
    <xf numFmtId="165" fontId="2" fillId="0" borderId="0" pivotButton="0" quotePrefix="0" xfId="3"/>
    <xf numFmtId="0" fontId="0" fillId="0" borderId="0" pivotButton="0" quotePrefix="0" xfId="0"/>
    <xf numFmtId="164" fontId="7" fillId="3" borderId="0" applyAlignment="1" pivotButton="0" quotePrefix="0" xfId="5">
      <alignment horizontal="center" wrapText="1"/>
    </xf>
    <xf numFmtId="164" fontId="7" fillId="0" borderId="1" applyAlignment="1" pivotButton="0" quotePrefix="0" xfId="5">
      <alignment horizontal="center" wrapText="1"/>
    </xf>
    <xf numFmtId="164" fontId="7" fillId="3" borderId="18" applyAlignment="1" pivotButton="0" quotePrefix="0" xfId="5">
      <alignment horizontal="center" wrapText="1"/>
    </xf>
    <xf numFmtId="164" fontId="7" fillId="0" borderId="13" applyAlignment="1" pivotButton="0" quotePrefix="0" xfId="5">
      <alignment horizontal="center" wrapText="1"/>
    </xf>
    <xf numFmtId="164" fontId="7" fillId="3" borderId="19" applyAlignment="1" pivotButton="0" quotePrefix="0" xfId="5">
      <alignment horizontal="center" wrapText="1"/>
    </xf>
    <xf numFmtId="164" fontId="7" fillId="0" borderId="20" applyAlignment="1" pivotButton="0" quotePrefix="0" xfId="5">
      <alignment horizontal="center" wrapText="1"/>
    </xf>
    <xf numFmtId="165" fontId="7" fillId="5" borderId="18" applyAlignment="1" pivotButton="0" quotePrefix="0" xfId="5">
      <alignment horizontal="center" wrapText="1"/>
    </xf>
    <xf numFmtId="165" fontId="7" fillId="0" borderId="20" applyAlignment="1" pivotButton="0" quotePrefix="0" xfId="5">
      <alignment horizontal="center" wrapText="1"/>
    </xf>
    <xf numFmtId="165" fontId="7" fillId="0" borderId="25" applyAlignment="1" pivotButton="0" quotePrefix="0" xfId="5">
      <alignment horizontal="center" wrapText="1"/>
    </xf>
    <xf numFmtId="165" fontId="8" fillId="0" borderId="26" applyAlignment="1" pivotButton="0" quotePrefix="0" xfId="5">
      <alignment horizontal="center" wrapText="1"/>
    </xf>
    <xf numFmtId="165" fontId="8" fillId="3" borderId="27" applyAlignment="1" pivotButton="0" quotePrefix="0" xfId="5">
      <alignment horizontal="center" wrapText="1"/>
    </xf>
    <xf numFmtId="166" fontId="3" fillId="0" borderId="0" applyAlignment="1" pivotButton="0" quotePrefix="0" xfId="5">
      <alignment vertical="center"/>
    </xf>
    <xf numFmtId="164" fontId="7" fillId="3" borderId="13" applyAlignment="1" pivotButton="0" quotePrefix="0" xfId="5">
      <alignment horizontal="center" wrapText="1"/>
    </xf>
    <xf numFmtId="164" fontId="7" fillId="3" borderId="14" applyAlignment="1" pivotButton="0" quotePrefix="0" xfId="5">
      <alignment horizontal="center" wrapText="1"/>
    </xf>
    <xf numFmtId="165" fontId="7" fillId="5" borderId="14" applyAlignment="1" pivotButton="0" quotePrefix="0" xfId="5">
      <alignment horizontal="center" wrapText="1"/>
    </xf>
    <xf numFmtId="165" fontId="7" fillId="0" borderId="1" applyAlignment="1" pivotButton="0" quotePrefix="0" xfId="5">
      <alignment horizontal="center" wrapText="1"/>
    </xf>
    <xf numFmtId="165" fontId="7" fillId="0" borderId="0" applyAlignment="1" pivotButton="0" quotePrefix="0" xfId="5">
      <alignment horizontal="center" wrapText="1"/>
    </xf>
    <xf numFmtId="165" fontId="8" fillId="0" borderId="16" applyAlignment="1" pivotButton="0" quotePrefix="0" xfId="5">
      <alignment horizontal="center" wrapText="1"/>
    </xf>
    <xf numFmtId="165" fontId="8" fillId="3" borderId="17" applyAlignment="1" pivotButton="0" quotePrefix="0" xfId="5">
      <alignment horizontal="center" wrapText="1"/>
    </xf>
    <xf numFmtId="165" fontId="1" fillId="0" borderId="0" applyAlignment="1" pivotButton="0" quotePrefix="0" xfId="5">
      <alignment horizontal="center" wrapText="1"/>
    </xf>
    <xf numFmtId="165" fontId="7" fillId="3" borderId="17" applyAlignment="1" pivotButton="0" quotePrefix="0" xfId="5">
      <alignment horizontal="center" wrapText="1"/>
    </xf>
    <xf numFmtId="165" fontId="8" fillId="0" borderId="0" applyAlignment="1" pivotButton="0" quotePrefix="0" xfId="5">
      <alignment horizontal="center" wrapText="1"/>
    </xf>
    <xf numFmtId="164" fontId="7" fillId="3" borderId="41" applyAlignment="1" pivotButton="0" quotePrefix="0" xfId="5">
      <alignment horizontal="center" wrapText="1"/>
    </xf>
    <xf numFmtId="164" fontId="7" fillId="0" borderId="40" applyAlignment="1" pivotButton="0" quotePrefix="0" xfId="5">
      <alignment horizontal="center" wrapText="1"/>
    </xf>
    <xf numFmtId="164" fontId="7" fillId="0" borderId="42" applyAlignment="1" pivotButton="0" quotePrefix="0" xfId="5">
      <alignment horizontal="center" wrapText="1"/>
    </xf>
    <xf numFmtId="164" fontId="7" fillId="3" borderId="42" applyAlignment="1" pivotButton="0" quotePrefix="0" xfId="5">
      <alignment horizontal="center" wrapText="1"/>
    </xf>
    <xf numFmtId="164" fontId="7" fillId="3" borderId="43" applyAlignment="1" pivotButton="0" quotePrefix="0" xfId="5">
      <alignment horizontal="center" wrapText="1"/>
    </xf>
    <xf numFmtId="165" fontId="7" fillId="5" borderId="43" applyAlignment="1" pivotButton="0" quotePrefix="0" xfId="5">
      <alignment horizontal="center" wrapText="1"/>
    </xf>
    <xf numFmtId="165" fontId="7" fillId="0" borderId="40" applyAlignment="1" pivotButton="0" quotePrefix="0" xfId="5">
      <alignment horizontal="center" wrapText="1"/>
    </xf>
    <xf numFmtId="165" fontId="7" fillId="0" borderId="41" applyAlignment="1" pivotButton="0" quotePrefix="0" xfId="5">
      <alignment horizontal="center" wrapText="1"/>
    </xf>
    <xf numFmtId="165" fontId="8" fillId="0" borderId="39" applyAlignment="1" pivotButton="0" quotePrefix="0" xfId="5">
      <alignment horizontal="center" wrapText="1"/>
    </xf>
    <xf numFmtId="165" fontId="8" fillId="3" borderId="47" applyAlignment="1" pivotButton="0" quotePrefix="0" xfId="5">
      <alignment horizontal="center" wrapText="1"/>
    </xf>
    <xf numFmtId="166" fontId="7" fillId="0" borderId="0" applyAlignment="1" pivotButton="0" quotePrefix="0" xfId="5">
      <alignment horizontal="center" wrapText="1"/>
    </xf>
    <xf numFmtId="165" fontId="7" fillId="0" borderId="0" applyAlignment="1" pivotButton="0" quotePrefix="0" xfId="1">
      <alignment horizontal="center" wrapText="1"/>
    </xf>
    <xf numFmtId="165" fontId="8" fillId="0" borderId="0" applyAlignment="1" pivotButton="0" quotePrefix="0" xfId="1">
      <alignment horizontal="center" wrapText="1"/>
    </xf>
    <xf numFmtId="165" fontId="3" fillId="0" borderId="0" pivotButton="0" quotePrefix="0" xfId="1"/>
    <xf numFmtId="167" fontId="2" fillId="0" borderId="0" pivotButton="0" quotePrefix="0" xfId="3"/>
    <xf numFmtId="165" fontId="2" fillId="0" borderId="1" pivotButton="0" quotePrefix="0" xfId="3"/>
    <xf numFmtId="165" fontId="2" fillId="0" borderId="0" pivotButton="0" quotePrefix="0" xfId="3"/>
  </cellXfs>
  <cellStyles count="6">
    <cellStyle name="一般" xfId="0" builtinId="0"/>
    <cellStyle name="一般 2" xfId="1"/>
    <cellStyle name="一般 3" xfId="2"/>
    <cellStyle name="一般 4" xfId="3"/>
    <cellStyle name="一般 5" xfId="4"/>
    <cellStyle name="一般 6" xfId="5"/>
  </cellStyles>
  <dxfs count="1">
    <dxf>
      <font>
        <color theme="8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/>
            </a:pPr>
            <a:r>
              <a:rPr sz="1400" b="1"/>
              <a:t>Normal Isochron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24588670819133"/>
          <y val="0.1357657657657658"/>
          <w val="0.8496991747300244"/>
          <h val="0.7396696696696696"/>
        </manualLayout>
      </layout>
      <scatterChart>
        <scatterStyle val="marker"/>
        <varyColors val="0"/>
        <ser>
          <idx val="0"/>
          <order val="0"/>
          <tx>
            <v>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trendline>
            <spPr>
              <a:ln xmlns:a="http://schemas.openxmlformats.org/drawingml/2006/main" w="20000">
                <a:solidFill>
                  <a:srgbClr val="C00000"/>
                </a:solidFill>
                <a:prstDash val="dash"/>
              </a:ln>
            </spPr>
            <trendlineType val="linear"/>
            <dispRSqr val="1"/>
            <dispEq val="1"/>
          </trendline>
          <errBars>
            <errDir val="y"/>
            <errBarType val="both"/>
            <errValType val="cust"/>
            <minus>
              <numRef>
                <f>'normal isochron'!$D$2:$D$16</f>
              </numRef>
            </minus>
            <plus>
              <numRef>
                <f>'normal isochron'!$D$2:$D$16</f>
              </numRef>
            </plus>
          </errBars>
          <xVal>
            <numRef>
              <f>'normal isochron'!$A$2:$A$16</f>
            </numRef>
          </xVal>
          <yVal>
            <numRef>
              <f>'normal isochron'!$C$2:$C$16</f>
            </numRef>
          </yVal>
          <smooth val="0"/>
        </ser>
        <ser>
          <idx val="1"/>
          <order val="1"/>
          <tx>
            <v>atm ratio = 298.56</v>
          </tx>
          <spPr>
            <a:ln xmlns:a="http://schemas.openxmlformats.org/drawingml/2006/main" w="12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'normal isochron'!$A$18:$A$19</f>
            </numRef>
          </xVal>
          <yVal>
            <numRef>
              <f>'normal isochron'!$B$18:$B$19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65205136"/>
        <axId val="1065203056"/>
      </scatterChart>
      <valAx>
        <axId val="106520513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sz="1100" b="0"/>
                  <a:t>³⁹Ar/³⁶Ar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065203056"/>
        <crossesAt val="-0.01"/>
        <crossBetween val="midCat"/>
      </valAx>
      <valAx>
        <axId val="1065203056"/>
        <scaling>
          <orientation val="minMax"/>
          <max val="0.014"/>
          <min val="-0.002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sz="1100" b="0"/>
                  <a:t>⁴⁰Ar/³⁶Ar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065205136"/>
        <crossesAt val="-0.01"/>
        <crossBetween val="midCat"/>
      </valAx>
      <spPr xmlns:a="http://schemas.openxmlformats.org/drawingml/2006/main">
        <a:ln w="25400">
          <a:solidFill>
            <a:srgbClr val="000000"/>
          </a:solidFill>
        </a:ln>
      </spPr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/>
            </a:pPr>
            <a:r>
              <a:rPr sz="1400" b="1"/>
              <a:t>Inverse Isochron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24588670819133"/>
          <y val="0.1357657657657658"/>
          <w val="0.8496991747300244"/>
          <h val="0.7396696696696696"/>
        </manualLayout>
      </layout>
      <scatterChart>
        <scatterStyle val="marker"/>
        <varyColors val="0"/>
        <ser>
          <idx val="0"/>
          <order val="0"/>
          <tx>
            <v>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trendline>
            <spPr>
              <a:ln xmlns:a="http://schemas.openxmlformats.org/drawingml/2006/main" w="20000">
                <a:solidFill>
                  <a:srgbClr val="C00000"/>
                </a:solidFill>
                <a:prstDash val="dash"/>
              </a:ln>
            </spPr>
            <trendlineType val="linear"/>
            <dispRSqr val="1"/>
            <dispEq val="1"/>
          </trendline>
          <errBars>
            <errDir val="y"/>
            <errBarType val="both"/>
            <errValType val="cust"/>
            <minus>
              <numRef>
                <f>'inverse isochron'!$D$2:$D$16</f>
              </numRef>
            </minus>
            <plus>
              <numRef>
                <f>'inverse isochron'!$D$2:$D$16</f>
              </numRef>
            </plus>
          </errBars>
          <xVal>
            <numRef>
              <f>'inverse isochron'!$A$2:$A$16</f>
            </numRef>
          </xVal>
          <yVal>
            <numRef>
              <f>'inverse isochron'!$C$2:$C$16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65205136"/>
        <axId val="1065203056"/>
      </scatterChart>
      <valAx>
        <axId val="106520513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sz="1100" b="0"/>
                  <a:t>³⁹Ar/⁴⁰Ar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065203056"/>
        <crossesAt val="-0.01"/>
        <crossBetween val="midCat"/>
      </valAx>
      <valAx>
        <axId val="1065203056"/>
        <scaling>
          <orientation val="minMax"/>
          <max val="0.014"/>
          <min val="-0.002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sz="1100" b="0"/>
                  <a:t>³⁶Ar/⁴⁰Ar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065205136"/>
        <crossesAt val="-0.01"/>
        <crossBetween val="midCat"/>
      </valAx>
      <spPr xmlns:a="http://schemas.openxmlformats.org/drawingml/2006/main">
        <a:ln w="25400">
          <a:solidFill>
            <a:srgbClr val="000000"/>
          </a:solidFill>
        </a:ln>
      </spPr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Age Spectrum</a:t>
            </a:r>
          </a:p>
        </rich>
      </tx>
      <layout/>
      <overlay val="0"/>
    </title>
    <plotArea>
      <layout/>
      <scatterChart>
        <scatterStyle val="line"/>
        <varyColors val="0"/>
        <ser>
          <idx val="0"/>
          <order val="0"/>
          <tx>
            <v>box1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spectrum'!$AD$2:$AH$2</f>
            </numRef>
          </xVal>
          <yVal>
            <numRef>
              <f>'Age spectrum'!$AI$2:$AM$2</f>
            </numRef>
          </yVal>
          <smooth val="0"/>
        </ser>
        <ser>
          <idx val="1"/>
          <order val="1"/>
          <tx>
            <v>box2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spectrum'!$AD$3:$AH$3</f>
            </numRef>
          </xVal>
          <yVal>
            <numRef>
              <f>'Age spectrum'!$AI$3:$AM$3</f>
            </numRef>
          </yVal>
          <smooth val="0"/>
        </ser>
        <ser>
          <idx val="2"/>
          <order val="2"/>
          <tx>
            <v>box3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spectrum'!$AD$4:$AH$4</f>
            </numRef>
          </xVal>
          <yVal>
            <numRef>
              <f>'Age spectrum'!$AI$4:$AM$4</f>
            </numRef>
          </yVal>
          <smooth val="0"/>
        </ser>
        <ser>
          <idx val="3"/>
          <order val="3"/>
          <tx>
            <v>box4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spectrum'!$AD$5:$AH$5</f>
            </numRef>
          </xVal>
          <yVal>
            <numRef>
              <f>'Age spectrum'!$AI$5:$AM$5</f>
            </numRef>
          </yVal>
          <smooth val="0"/>
        </ser>
        <ser>
          <idx val="4"/>
          <order val="4"/>
          <tx>
            <v>box5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spectrum'!$AD$6:$AH$6</f>
            </numRef>
          </xVal>
          <yVal>
            <numRef>
              <f>'Age spectrum'!$AI$6:$AM$6</f>
            </numRef>
          </yVal>
          <smooth val="0"/>
        </ser>
        <ser>
          <idx val="5"/>
          <order val="5"/>
          <tx>
            <v>box6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spectrum'!$AD$7:$AH$7</f>
            </numRef>
          </xVal>
          <yVal>
            <numRef>
              <f>'Age spectrum'!$AI$7:$AM$7</f>
            </numRef>
          </yVal>
          <smooth val="0"/>
        </ser>
        <ser>
          <idx val="6"/>
          <order val="6"/>
          <tx>
            <v>box7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spectrum'!$AD$8:$AH$8</f>
            </numRef>
          </xVal>
          <yVal>
            <numRef>
              <f>'Age spectrum'!$AI$8:$AM$8</f>
            </numRef>
          </yVal>
          <smooth val="0"/>
        </ser>
        <ser>
          <idx val="7"/>
          <order val="7"/>
          <tx>
            <v>box8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spectrum'!$AD$9:$AH$9</f>
            </numRef>
          </xVal>
          <yVal>
            <numRef>
              <f>'Age spectrum'!$AI$9:$AM$9</f>
            </numRef>
          </yVal>
          <smooth val="0"/>
        </ser>
        <ser>
          <idx val="8"/>
          <order val="8"/>
          <tx>
            <v>box9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spectrum'!$AD$10:$AH$10</f>
            </numRef>
          </xVal>
          <yVal>
            <numRef>
              <f>'Age spectrum'!$AI$10:$AM$10</f>
            </numRef>
          </yVal>
          <smooth val="0"/>
        </ser>
        <ser>
          <idx val="9"/>
          <order val="9"/>
          <tx>
            <v>box10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spectrum'!$AD$11:$AH$11</f>
            </numRef>
          </xVal>
          <yVal>
            <numRef>
              <f>'Age spectrum'!$AI$11:$AM$11</f>
            </numRef>
          </yVal>
          <smooth val="0"/>
        </ser>
        <ser>
          <idx val="10"/>
          <order val="10"/>
          <tx>
            <v>box11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spectrum'!$AD$12:$AH$12</f>
            </numRef>
          </xVal>
          <yVal>
            <numRef>
              <f>'Age spectrum'!$AI$12:$AM$12</f>
            </numRef>
          </yVal>
          <smooth val="0"/>
        </ser>
        <ser>
          <idx val="11"/>
          <order val="11"/>
          <tx>
            <v>box12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spectrum'!$AD$13:$AH$13</f>
            </numRef>
          </xVal>
          <yVal>
            <numRef>
              <f>'Age spectrum'!$AI$13:$AM$13</f>
            </numRef>
          </yVal>
          <smooth val="0"/>
        </ser>
        <ser>
          <idx val="12"/>
          <order val="12"/>
          <tx>
            <v>box13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spectrum'!$AD$14:$AH$14</f>
            </numRef>
          </xVal>
          <yVal>
            <numRef>
              <f>'Age spectrum'!$AI$14:$AM$14</f>
            </numRef>
          </yVal>
          <smooth val="0"/>
        </ser>
        <ser>
          <idx val="13"/>
          <order val="13"/>
          <tx>
            <v>box14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spectrum'!$AD$15:$AH$15</f>
            </numRef>
          </xVal>
          <yVal>
            <numRef>
              <f>'Age spectrum'!$AI$15:$AM$15</f>
            </numRef>
          </yVal>
          <smooth val="0"/>
        </ser>
        <ser>
          <idx val="14"/>
          <order val="14"/>
          <tx>
            <v>box15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spectrum'!$AD$16:$AH$16</f>
            </numRef>
          </xVal>
          <yVal>
            <numRef>
              <f>'Age spectrum'!$AI$16:$AM$16</f>
            </numRef>
          </yVal>
          <smooth val="0"/>
        </ser>
        <ser>
          <idx val="15"/>
          <order val="15"/>
          <tx>
            <v>upper1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spectrum'!$V$2:$W$2</f>
            </numRef>
          </xVal>
          <yVal>
            <numRef>
              <f>'Age spectrum'!$X$2:$Y$2</f>
            </numRef>
          </yVal>
          <smooth val="0"/>
        </ser>
        <ser>
          <idx val="16"/>
          <order val="16"/>
          <tx>
            <v>upper2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spectrum'!$V$3:$W$3</f>
            </numRef>
          </xVal>
          <yVal>
            <numRef>
              <f>'Age spectrum'!$X$3:$Y$3</f>
            </numRef>
          </yVal>
          <smooth val="0"/>
        </ser>
        <ser>
          <idx val="17"/>
          <order val="17"/>
          <tx>
            <v>upper3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spectrum'!$V$4:$W$4</f>
            </numRef>
          </xVal>
          <yVal>
            <numRef>
              <f>'Age spectrum'!$X$4:$Y$4</f>
            </numRef>
          </yVal>
          <smooth val="0"/>
        </ser>
        <ser>
          <idx val="18"/>
          <order val="18"/>
          <tx>
            <v>upper4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spectrum'!$V$5:$W$5</f>
            </numRef>
          </xVal>
          <yVal>
            <numRef>
              <f>'Age spectrum'!$X$5:$Y$5</f>
            </numRef>
          </yVal>
          <smooth val="0"/>
        </ser>
        <ser>
          <idx val="19"/>
          <order val="19"/>
          <tx>
            <v>upper5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spectrum'!$V$6:$W$6</f>
            </numRef>
          </xVal>
          <yVal>
            <numRef>
              <f>'Age spectrum'!$X$6:$Y$6</f>
            </numRef>
          </yVal>
          <smooth val="0"/>
        </ser>
        <ser>
          <idx val="20"/>
          <order val="20"/>
          <tx>
            <v>upper6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spectrum'!$V$7:$W$7</f>
            </numRef>
          </xVal>
          <yVal>
            <numRef>
              <f>'Age spectrum'!$X$7:$Y$7</f>
            </numRef>
          </yVal>
          <smooth val="0"/>
        </ser>
        <ser>
          <idx val="21"/>
          <order val="21"/>
          <tx>
            <v>upper7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spectrum'!$V$8:$W$8</f>
            </numRef>
          </xVal>
          <yVal>
            <numRef>
              <f>'Age spectrum'!$X$8:$Y$8</f>
            </numRef>
          </yVal>
          <smooth val="0"/>
        </ser>
        <ser>
          <idx val="22"/>
          <order val="22"/>
          <tx>
            <v>upper8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spectrum'!$V$9:$W$9</f>
            </numRef>
          </xVal>
          <yVal>
            <numRef>
              <f>'Age spectrum'!$X$9:$Y$9</f>
            </numRef>
          </yVal>
          <smooth val="0"/>
        </ser>
        <ser>
          <idx val="23"/>
          <order val="23"/>
          <tx>
            <v>upper9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spectrum'!$V$10:$W$10</f>
            </numRef>
          </xVal>
          <yVal>
            <numRef>
              <f>'Age spectrum'!$X$10:$Y$10</f>
            </numRef>
          </yVal>
          <smooth val="0"/>
        </ser>
        <ser>
          <idx val="24"/>
          <order val="24"/>
          <tx>
            <v>upper10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spectrum'!$V$11:$W$11</f>
            </numRef>
          </xVal>
          <yVal>
            <numRef>
              <f>'Age spectrum'!$X$11:$Y$11</f>
            </numRef>
          </yVal>
          <smooth val="0"/>
        </ser>
        <ser>
          <idx val="25"/>
          <order val="25"/>
          <tx>
            <v>upper11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spectrum'!$V$12:$W$12</f>
            </numRef>
          </xVal>
          <yVal>
            <numRef>
              <f>'Age spectrum'!$X$12:$Y$12</f>
            </numRef>
          </yVal>
          <smooth val="0"/>
        </ser>
        <ser>
          <idx val="26"/>
          <order val="26"/>
          <tx>
            <v>upper12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spectrum'!$V$13:$W$13</f>
            </numRef>
          </xVal>
          <yVal>
            <numRef>
              <f>'Age spectrum'!$X$13:$Y$13</f>
            </numRef>
          </yVal>
          <smooth val="0"/>
        </ser>
        <ser>
          <idx val="27"/>
          <order val="27"/>
          <tx>
            <v>upper13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spectrum'!$V$14:$W$14</f>
            </numRef>
          </xVal>
          <yVal>
            <numRef>
              <f>'Age spectrum'!$X$14:$Y$14</f>
            </numRef>
          </yVal>
          <smooth val="0"/>
        </ser>
        <ser>
          <idx val="28"/>
          <order val="28"/>
          <tx>
            <v>upper14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spectrum'!$V$15:$W$15</f>
            </numRef>
          </xVal>
          <yVal>
            <numRef>
              <f>'Age spectrum'!$X$15:$Y$15</f>
            </numRef>
          </yVal>
          <smooth val="0"/>
        </ser>
        <ser>
          <idx val="29"/>
          <order val="29"/>
          <tx>
            <v>lower1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spectrum'!$Z$2:$AA$2</f>
            </numRef>
          </xVal>
          <yVal>
            <numRef>
              <f>'Age spectrum'!$AB$2:$AC$2</f>
            </numRef>
          </yVal>
          <smooth val="0"/>
        </ser>
        <ser>
          <idx val="30"/>
          <order val="30"/>
          <tx>
            <v>lower2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spectrum'!$Z$3:$AA$3</f>
            </numRef>
          </xVal>
          <yVal>
            <numRef>
              <f>'Age spectrum'!$AB$3:$AC$3</f>
            </numRef>
          </yVal>
          <smooth val="0"/>
        </ser>
        <ser>
          <idx val="31"/>
          <order val="31"/>
          <tx>
            <v>lower3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spectrum'!$Z$4:$AA$4</f>
            </numRef>
          </xVal>
          <yVal>
            <numRef>
              <f>'Age spectrum'!$AB$4:$AC$4</f>
            </numRef>
          </yVal>
          <smooth val="0"/>
        </ser>
        <ser>
          <idx val="32"/>
          <order val="32"/>
          <tx>
            <v>lower4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spectrum'!$Z$5:$AA$5</f>
            </numRef>
          </xVal>
          <yVal>
            <numRef>
              <f>'Age spectrum'!$AB$5:$AC$5</f>
            </numRef>
          </yVal>
          <smooth val="0"/>
        </ser>
        <ser>
          <idx val="33"/>
          <order val="33"/>
          <tx>
            <v>lower5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spectrum'!$Z$6:$AA$6</f>
            </numRef>
          </xVal>
          <yVal>
            <numRef>
              <f>'Age spectrum'!$AB$6:$AC$6</f>
            </numRef>
          </yVal>
          <smooth val="0"/>
        </ser>
        <ser>
          <idx val="34"/>
          <order val="34"/>
          <tx>
            <v>lower6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spectrum'!$Z$7:$AA$7</f>
            </numRef>
          </xVal>
          <yVal>
            <numRef>
              <f>'Age spectrum'!$AB$7:$AC$7</f>
            </numRef>
          </yVal>
          <smooth val="0"/>
        </ser>
        <ser>
          <idx val="35"/>
          <order val="35"/>
          <tx>
            <v>lower7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spectrum'!$Z$8:$AA$8</f>
            </numRef>
          </xVal>
          <yVal>
            <numRef>
              <f>'Age spectrum'!$AB$8:$AC$8</f>
            </numRef>
          </yVal>
          <smooth val="0"/>
        </ser>
        <ser>
          <idx val="36"/>
          <order val="36"/>
          <tx>
            <v>lower8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spectrum'!$Z$9:$AA$9</f>
            </numRef>
          </xVal>
          <yVal>
            <numRef>
              <f>'Age spectrum'!$AB$9:$AC$9</f>
            </numRef>
          </yVal>
          <smooth val="0"/>
        </ser>
        <ser>
          <idx val="37"/>
          <order val="37"/>
          <tx>
            <v>lower9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spectrum'!$Z$10:$AA$10</f>
            </numRef>
          </xVal>
          <yVal>
            <numRef>
              <f>'Age spectrum'!$AB$10:$AC$10</f>
            </numRef>
          </yVal>
          <smooth val="0"/>
        </ser>
        <ser>
          <idx val="38"/>
          <order val="38"/>
          <tx>
            <v>lower10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spectrum'!$Z$11:$AA$11</f>
            </numRef>
          </xVal>
          <yVal>
            <numRef>
              <f>'Age spectrum'!$AB$11:$AC$11</f>
            </numRef>
          </yVal>
          <smooth val="0"/>
        </ser>
        <ser>
          <idx val="39"/>
          <order val="39"/>
          <tx>
            <v>lower11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spectrum'!$Z$12:$AA$12</f>
            </numRef>
          </xVal>
          <yVal>
            <numRef>
              <f>'Age spectrum'!$AB$12:$AC$12</f>
            </numRef>
          </yVal>
          <smooth val="0"/>
        </ser>
        <ser>
          <idx val="40"/>
          <order val="40"/>
          <tx>
            <v>lower12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spectrum'!$Z$13:$AA$13</f>
            </numRef>
          </xVal>
          <yVal>
            <numRef>
              <f>'Age spectrum'!$AB$13:$AC$13</f>
            </numRef>
          </yVal>
          <smooth val="0"/>
        </ser>
        <ser>
          <idx val="41"/>
          <order val="41"/>
          <tx>
            <v>lower13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spectrum'!$Z$14:$AA$14</f>
            </numRef>
          </xVal>
          <yVal>
            <numRef>
              <f>'Age spectrum'!$AB$14:$AC$14</f>
            </numRef>
          </yVal>
          <smooth val="0"/>
        </ser>
        <ser>
          <idx val="42"/>
          <order val="42"/>
          <tx>
            <v>lower14</v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'Age spectrum'!$Z$15:$AA$15</f>
            </numRef>
          </xVal>
          <yVal>
            <numRef>
              <f>'Age spectrum'!$AB$15:$AC$15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12848479"/>
        <axId val="1312848895"/>
      </scatterChart>
      <valAx>
        <axId val="1312848479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lang="en-US" sz="1100" b="0"/>
                  <a:t>Cumulative ³⁹Ar(K) released (%)</a:t>
                </a:r>
              </a:p>
            </rich>
          </tx>
          <layout/>
          <overlay val="0"/>
        </title>
        <numFmt formatCode="General" sourceLinked="1"/>
        <majorTickMark val="out"/>
        <minorTickMark val="out"/>
        <tickLblPos val="nextTo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b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baseline="0">
                <a:ln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312848895"/>
        <crossesAt val="-300"/>
        <crossBetween val="midCat"/>
        <minorUnit val="2"/>
      </valAx>
      <valAx>
        <axId val="1312848895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/>
                </a:pPr>
                <a:r>
                  <a:rPr lang="en-US" sz="1100" b="0"/>
                  <a:t>Apparent Age (Ma)</a:t>
                </a:r>
              </a:p>
            </rich>
          </tx>
          <layout/>
          <overlay val="0"/>
        </title>
        <numFmt formatCode="General" sourceLinked="0"/>
        <majorTickMark val="out"/>
        <minorTickMark val="out"/>
        <tickLblPos val="nextTo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312848479"/>
        <crossesAt val="0"/>
        <crossBetween val="midCat"/>
      </valAx>
      <spPr xmlns:a="http://schemas.openxmlformats.org/drawingml/2006/main">
        <a:ln w="25400">
          <a:solidFill>
            <a:srgbClr val="000000"/>
          </a:solidFill>
        </a:ln>
      </spPr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Ca/K Spectrum</a:t>
            </a:r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71157468356927"/>
          <y val="0.06593671625478002"/>
          <w val="0.8074477710555251"/>
          <h val="0.7847964196783095"/>
        </manualLayout>
      </layout>
      <scatterChart>
        <scatterStyle val="line"/>
        <varyColors val="0"/>
        <ser>
          <idx val="0"/>
          <order val="0"/>
          <tx>
            <v>box1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ratio'!$AD$2:$AH$2</f>
            </numRef>
          </xVal>
          <yVal>
            <numRef>
              <f>'Ca-K ratio'!$AI$2:$AM$2</f>
            </numRef>
          </yVal>
          <smooth val="0"/>
        </ser>
        <ser>
          <idx val="1"/>
          <order val="1"/>
          <tx>
            <v>box2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ratio'!$AD$3:$AH$3</f>
            </numRef>
          </xVal>
          <yVal>
            <numRef>
              <f>'Ca-K ratio'!$AI$3:$AM$3</f>
            </numRef>
          </yVal>
          <smooth val="0"/>
        </ser>
        <ser>
          <idx val="2"/>
          <order val="2"/>
          <tx>
            <v>box3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ratio'!$AD$4:$AH$4</f>
            </numRef>
          </xVal>
          <yVal>
            <numRef>
              <f>'Ca-K ratio'!$AI$4:$AM$4</f>
            </numRef>
          </yVal>
          <smooth val="0"/>
        </ser>
        <ser>
          <idx val="3"/>
          <order val="3"/>
          <tx>
            <v>box4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ratio'!$AD$5:$AH$5</f>
            </numRef>
          </xVal>
          <yVal>
            <numRef>
              <f>'Ca-K ratio'!$AI$5:$AM$5</f>
            </numRef>
          </yVal>
          <smooth val="0"/>
        </ser>
        <ser>
          <idx val="4"/>
          <order val="4"/>
          <tx>
            <v>box5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ratio'!$AD$6:$AH$6</f>
            </numRef>
          </xVal>
          <yVal>
            <numRef>
              <f>'Ca-K ratio'!$AI$6:$AM$6</f>
            </numRef>
          </yVal>
          <smooth val="0"/>
        </ser>
        <ser>
          <idx val="5"/>
          <order val="5"/>
          <tx>
            <v>box6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ratio'!$AD$7:$AH$7</f>
            </numRef>
          </xVal>
          <yVal>
            <numRef>
              <f>'Ca-K ratio'!$AI$7:$AM$7</f>
            </numRef>
          </yVal>
          <smooth val="0"/>
        </ser>
        <ser>
          <idx val="6"/>
          <order val="6"/>
          <tx>
            <v>box7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ratio'!$AD$8:$AH$8</f>
            </numRef>
          </xVal>
          <yVal>
            <numRef>
              <f>'Ca-K ratio'!$AI$8:$AM$8</f>
            </numRef>
          </yVal>
          <smooth val="0"/>
        </ser>
        <ser>
          <idx val="7"/>
          <order val="7"/>
          <tx>
            <v>box8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ratio'!$AD$9:$AH$9</f>
            </numRef>
          </xVal>
          <yVal>
            <numRef>
              <f>'Ca-K ratio'!$AI$9:$AM$9</f>
            </numRef>
          </yVal>
          <smooth val="0"/>
        </ser>
        <ser>
          <idx val="8"/>
          <order val="8"/>
          <tx>
            <v>box9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ratio'!$AD$10:$AH$10</f>
            </numRef>
          </xVal>
          <yVal>
            <numRef>
              <f>'Ca-K ratio'!$AI$10:$AM$10</f>
            </numRef>
          </yVal>
          <smooth val="0"/>
        </ser>
        <ser>
          <idx val="9"/>
          <order val="9"/>
          <tx>
            <v>box10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ratio'!$AD$11:$AH$11</f>
            </numRef>
          </xVal>
          <yVal>
            <numRef>
              <f>'Ca-K ratio'!$AI$11:$AM$11</f>
            </numRef>
          </yVal>
          <smooth val="0"/>
        </ser>
        <ser>
          <idx val="10"/>
          <order val="10"/>
          <tx>
            <v>box11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ratio'!$AD$12:$AH$12</f>
            </numRef>
          </xVal>
          <yVal>
            <numRef>
              <f>'Ca-K ratio'!$AI$12:$AM$12</f>
            </numRef>
          </yVal>
          <smooth val="0"/>
        </ser>
        <ser>
          <idx val="11"/>
          <order val="11"/>
          <tx>
            <v>box12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ratio'!$AD$13:$AH$13</f>
            </numRef>
          </xVal>
          <yVal>
            <numRef>
              <f>'Ca-K ratio'!$AI$13:$AM$13</f>
            </numRef>
          </yVal>
          <smooth val="0"/>
        </ser>
        <ser>
          <idx val="12"/>
          <order val="12"/>
          <tx>
            <v>box13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ratio'!$AD$14:$AH$14</f>
            </numRef>
          </xVal>
          <yVal>
            <numRef>
              <f>'Ca-K ratio'!$AI$14:$AM$14</f>
            </numRef>
          </yVal>
          <smooth val="0"/>
        </ser>
        <ser>
          <idx val="13"/>
          <order val="13"/>
          <tx>
            <v>box14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ratio'!$AD$15:$AH$15</f>
            </numRef>
          </xVal>
          <yVal>
            <numRef>
              <f>'Ca-K ratio'!$AI$15:$AM$15</f>
            </numRef>
          </yVal>
          <smooth val="0"/>
        </ser>
        <ser>
          <idx val="14"/>
          <order val="14"/>
          <tx>
            <v>box15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ratio'!$AD$16:$AH$16</f>
            </numRef>
          </xVal>
          <yVal>
            <numRef>
              <f>'Ca-K ratio'!$AI$16:$AM$16</f>
            </numRef>
          </yVal>
          <smooth val="0"/>
        </ser>
        <ser>
          <idx val="15"/>
          <order val="15"/>
          <tx>
            <v>upper1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ratio'!$V$2:$W$2</f>
            </numRef>
          </xVal>
          <yVal>
            <numRef>
              <f>'Ca-K ratio'!$X$2:$Y$2</f>
            </numRef>
          </yVal>
          <smooth val="0"/>
        </ser>
        <ser>
          <idx val="16"/>
          <order val="16"/>
          <tx>
            <v>upper2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ratio'!$V$3:$W$3</f>
            </numRef>
          </xVal>
          <yVal>
            <numRef>
              <f>'Ca-K ratio'!$X$3:$Y$3</f>
            </numRef>
          </yVal>
          <smooth val="0"/>
        </ser>
        <ser>
          <idx val="17"/>
          <order val="17"/>
          <tx>
            <v>upper3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ratio'!$V$4:$W$4</f>
            </numRef>
          </xVal>
          <yVal>
            <numRef>
              <f>'Ca-K ratio'!$X$4:$Y$4</f>
            </numRef>
          </yVal>
          <smooth val="0"/>
        </ser>
        <ser>
          <idx val="18"/>
          <order val="18"/>
          <tx>
            <v>upper4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ratio'!$V$5:$W$5</f>
            </numRef>
          </xVal>
          <yVal>
            <numRef>
              <f>'Ca-K ratio'!$X$5:$Y$5</f>
            </numRef>
          </yVal>
          <smooth val="0"/>
        </ser>
        <ser>
          <idx val="19"/>
          <order val="19"/>
          <tx>
            <v>upper5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ratio'!$V$6:$W$6</f>
            </numRef>
          </xVal>
          <yVal>
            <numRef>
              <f>'Ca-K ratio'!$X$6:$Y$6</f>
            </numRef>
          </yVal>
          <smooth val="0"/>
        </ser>
        <ser>
          <idx val="20"/>
          <order val="20"/>
          <tx>
            <v>upper6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ratio'!$V$7:$W$7</f>
            </numRef>
          </xVal>
          <yVal>
            <numRef>
              <f>'Ca-K ratio'!$X$7:$Y$7</f>
            </numRef>
          </yVal>
          <smooth val="0"/>
        </ser>
        <ser>
          <idx val="21"/>
          <order val="21"/>
          <tx>
            <v>upper7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ratio'!$V$8:$W$8</f>
            </numRef>
          </xVal>
          <yVal>
            <numRef>
              <f>'Ca-K ratio'!$X$8:$Y$8</f>
            </numRef>
          </yVal>
          <smooth val="0"/>
        </ser>
        <ser>
          <idx val="22"/>
          <order val="22"/>
          <tx>
            <v>upper8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ratio'!$V$9:$W$9</f>
            </numRef>
          </xVal>
          <yVal>
            <numRef>
              <f>'Ca-K ratio'!$X$9:$Y$9</f>
            </numRef>
          </yVal>
          <smooth val="0"/>
        </ser>
        <ser>
          <idx val="23"/>
          <order val="23"/>
          <tx>
            <v>upper9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ratio'!$V$10:$W$10</f>
            </numRef>
          </xVal>
          <yVal>
            <numRef>
              <f>'Ca-K ratio'!$X$10:$Y$10</f>
            </numRef>
          </yVal>
          <smooth val="0"/>
        </ser>
        <ser>
          <idx val="24"/>
          <order val="24"/>
          <tx>
            <v>upper10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ratio'!$V$11:$W$11</f>
            </numRef>
          </xVal>
          <yVal>
            <numRef>
              <f>'Ca-K ratio'!$X$11:$Y$11</f>
            </numRef>
          </yVal>
          <smooth val="0"/>
        </ser>
        <ser>
          <idx val="25"/>
          <order val="25"/>
          <tx>
            <v>upper11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ratio'!$V$12:$W$12</f>
            </numRef>
          </xVal>
          <yVal>
            <numRef>
              <f>'Ca-K ratio'!$X$12:$Y$12</f>
            </numRef>
          </yVal>
          <smooth val="0"/>
        </ser>
        <ser>
          <idx val="26"/>
          <order val="26"/>
          <tx>
            <v>upper12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ratio'!$V$13:$W$13</f>
            </numRef>
          </xVal>
          <yVal>
            <numRef>
              <f>'Ca-K ratio'!$X$13:$Y$13</f>
            </numRef>
          </yVal>
          <smooth val="0"/>
        </ser>
        <ser>
          <idx val="27"/>
          <order val="27"/>
          <tx>
            <v>upper13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ratio'!$V$14:$W$14</f>
            </numRef>
          </xVal>
          <yVal>
            <numRef>
              <f>'Ca-K ratio'!$X$14:$Y$14</f>
            </numRef>
          </yVal>
          <smooth val="0"/>
        </ser>
        <ser>
          <idx val="28"/>
          <order val="28"/>
          <tx>
            <v>upper14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ratio'!$V$15:$W$15</f>
            </numRef>
          </xVal>
          <yVal>
            <numRef>
              <f>'Ca-K ratio'!$X$15:$Y$15</f>
            </numRef>
          </yVal>
          <smooth val="0"/>
        </ser>
        <ser>
          <idx val="29"/>
          <order val="29"/>
          <tx>
            <v>lower1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ratio'!$Z$2:$AA$2</f>
            </numRef>
          </xVal>
          <yVal>
            <numRef>
              <f>'Ca-K ratio'!$AB$2:$AC$2</f>
            </numRef>
          </yVal>
          <smooth val="0"/>
        </ser>
        <ser>
          <idx val="30"/>
          <order val="30"/>
          <tx>
            <v>lower2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ratio'!$Z$3:$AA$3</f>
            </numRef>
          </xVal>
          <yVal>
            <numRef>
              <f>'Ca-K ratio'!$AB$3:$AC$3</f>
            </numRef>
          </yVal>
          <smooth val="0"/>
        </ser>
        <ser>
          <idx val="31"/>
          <order val="31"/>
          <tx>
            <v>lower3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ratio'!$Z$4:$AA$4</f>
            </numRef>
          </xVal>
          <yVal>
            <numRef>
              <f>'Ca-K ratio'!$AB$4:$AC$4</f>
            </numRef>
          </yVal>
          <smooth val="0"/>
        </ser>
        <ser>
          <idx val="32"/>
          <order val="32"/>
          <tx>
            <v>lower4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ratio'!$Z$5:$AA$5</f>
            </numRef>
          </xVal>
          <yVal>
            <numRef>
              <f>'Ca-K ratio'!$AB$5:$AC$5</f>
            </numRef>
          </yVal>
          <smooth val="0"/>
        </ser>
        <ser>
          <idx val="33"/>
          <order val="33"/>
          <tx>
            <v>lower5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ratio'!$Z$6:$AA$6</f>
            </numRef>
          </xVal>
          <yVal>
            <numRef>
              <f>'Ca-K ratio'!$AB$6:$AC$6</f>
            </numRef>
          </yVal>
          <smooth val="0"/>
        </ser>
        <ser>
          <idx val="34"/>
          <order val="34"/>
          <tx>
            <v>lower6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ratio'!$Z$7:$AA$7</f>
            </numRef>
          </xVal>
          <yVal>
            <numRef>
              <f>'Ca-K ratio'!$AB$7:$AC$7</f>
            </numRef>
          </yVal>
          <smooth val="0"/>
        </ser>
        <ser>
          <idx val="35"/>
          <order val="35"/>
          <tx>
            <v>lower7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ratio'!$Z$8:$AA$8</f>
            </numRef>
          </xVal>
          <yVal>
            <numRef>
              <f>'Ca-K ratio'!$AB$8:$AC$8</f>
            </numRef>
          </yVal>
          <smooth val="0"/>
        </ser>
        <ser>
          <idx val="36"/>
          <order val="36"/>
          <tx>
            <v>lower8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ratio'!$Z$9:$AA$9</f>
            </numRef>
          </xVal>
          <yVal>
            <numRef>
              <f>'Ca-K ratio'!$AB$9:$AC$9</f>
            </numRef>
          </yVal>
          <smooth val="0"/>
        </ser>
        <ser>
          <idx val="37"/>
          <order val="37"/>
          <tx>
            <v>lower9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ratio'!$Z$10:$AA$10</f>
            </numRef>
          </xVal>
          <yVal>
            <numRef>
              <f>'Ca-K ratio'!$AB$10:$AC$10</f>
            </numRef>
          </yVal>
          <smooth val="0"/>
        </ser>
        <ser>
          <idx val="38"/>
          <order val="38"/>
          <tx>
            <v>lower10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ratio'!$Z$11:$AA$11</f>
            </numRef>
          </xVal>
          <yVal>
            <numRef>
              <f>'Ca-K ratio'!$AB$11:$AC$11</f>
            </numRef>
          </yVal>
          <smooth val="0"/>
        </ser>
        <ser>
          <idx val="39"/>
          <order val="39"/>
          <tx>
            <v>lower11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ratio'!$Z$12:$AA$12</f>
            </numRef>
          </xVal>
          <yVal>
            <numRef>
              <f>'Ca-K ratio'!$AB$12:$AC$12</f>
            </numRef>
          </yVal>
          <smooth val="0"/>
        </ser>
        <ser>
          <idx val="40"/>
          <order val="40"/>
          <tx>
            <v>lower12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ratio'!$Z$13:$AA$13</f>
            </numRef>
          </xVal>
          <yVal>
            <numRef>
              <f>'Ca-K ratio'!$AB$13:$AC$13</f>
            </numRef>
          </yVal>
          <smooth val="0"/>
        </ser>
        <ser>
          <idx val="41"/>
          <order val="41"/>
          <tx>
            <v>lower13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ratio'!$Z$14:$AA$14</f>
            </numRef>
          </xVal>
          <yVal>
            <numRef>
              <f>'Ca-K ratio'!$AB$14:$AC$14</f>
            </numRef>
          </yVal>
          <smooth val="0"/>
        </ser>
        <ser>
          <idx val="42"/>
          <order val="42"/>
          <tx>
            <v>lower14</v>
          </tx>
          <spPr>
            <a:ln xmlns:a="http://schemas.openxmlformats.org/drawingml/2006/main" w="18000">
              <a:solidFill>
                <a:srgbClr val="5B2C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'Ca-K ratio'!$Z$15:$AA$15</f>
            </numRef>
          </xVal>
          <yVal>
            <numRef>
              <f>'Ca-K ratio'!$AB$15:$AC$15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12848479"/>
        <axId val="1312848895"/>
      </scatterChart>
      <valAx>
        <axId val="1312848479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2000" b="0"/>
                </a:pPr>
                <a:r>
                  <a:rPr lang="en-US" sz="2000" b="0"/>
                  <a:t>Cumulative ³⁹Ar(K) released (%)</a:t>
                </a:r>
              </a:p>
            </rich>
          </tx>
          <layout/>
          <overlay val="0"/>
        </title>
        <numFmt formatCode="General" sourceLinked="1"/>
        <majorTickMark val="out"/>
        <minorTickMark val="out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2000"/>
            </a:pPr>
            <a:r>
              <a:t>None</a:t>
            </a:r>
            <a:endParaRPr lang="zh-TW"/>
          </a:p>
        </txPr>
        <crossAx val="1312848895"/>
        <crossesAt val="-0.02"/>
        <crossBetween val="midCat"/>
        <minorUnit val="5"/>
      </valAx>
      <valAx>
        <axId val="1312848895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2000" b="0"/>
                </a:pPr>
                <a:r>
                  <a:rPr lang="en-US" sz="2000" b="0"/>
                  <a:t>Ca/K ratio</a:t>
                </a:r>
              </a:p>
            </rich>
          </tx>
          <layout/>
          <overlay val="0"/>
        </title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312848479"/>
        <crosses val="autoZero"/>
        <crossBetween val="midCat"/>
      </valAx>
      <spPr xmlns:a="http://schemas.openxmlformats.org/drawingml/2006/main">
        <a:ln w="25400">
          <a:solidFill>
            <a:srgbClr val="000000"/>
          </a:solidFill>
        </a:ln>
      </spPr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Cl/K Spectrum</a:t>
            </a:r>
          </a:p>
        </rich>
      </tx>
      <layout>
        <manualLayout>
          <xMode val="edge"/>
          <yMode val="edge"/>
          <wMode val="factor"/>
          <hMode val="factor"/>
          <x val="0.4906628052550738"/>
          <y val="0.01222270147046156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71157468356927"/>
          <y val="0.06593671625478002"/>
          <w val="0.8074477710555251"/>
          <h val="0.775463039080083"/>
        </manualLayout>
      </layout>
      <scatterChart>
        <scatterStyle val="line"/>
        <varyColors val="0"/>
        <ser>
          <idx val="0"/>
          <order val="0"/>
          <tx>
            <v>box1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ratio'!$AD$2:$AH$2</f>
            </numRef>
          </xVal>
          <yVal>
            <numRef>
              <f>'Cl-K ratio'!$AI$2:$AM$2</f>
            </numRef>
          </yVal>
          <smooth val="0"/>
        </ser>
        <ser>
          <idx val="1"/>
          <order val="1"/>
          <tx>
            <v>box2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ratio'!$AD$3:$AH$3</f>
            </numRef>
          </xVal>
          <yVal>
            <numRef>
              <f>'Cl-K ratio'!$AI$3:$AM$3</f>
            </numRef>
          </yVal>
          <smooth val="0"/>
        </ser>
        <ser>
          <idx val="2"/>
          <order val="2"/>
          <tx>
            <v>box3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ratio'!$AD$4:$AH$4</f>
            </numRef>
          </xVal>
          <yVal>
            <numRef>
              <f>'Cl-K ratio'!$AI$4:$AM$4</f>
            </numRef>
          </yVal>
          <smooth val="0"/>
        </ser>
        <ser>
          <idx val="3"/>
          <order val="3"/>
          <tx>
            <v>box4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ratio'!$AD$5:$AH$5</f>
            </numRef>
          </xVal>
          <yVal>
            <numRef>
              <f>'Cl-K ratio'!$AI$5:$AM$5</f>
            </numRef>
          </yVal>
          <smooth val="0"/>
        </ser>
        <ser>
          <idx val="4"/>
          <order val="4"/>
          <tx>
            <v>box5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ratio'!$AD$6:$AH$6</f>
            </numRef>
          </xVal>
          <yVal>
            <numRef>
              <f>'Cl-K ratio'!$AI$6:$AM$6</f>
            </numRef>
          </yVal>
          <smooth val="0"/>
        </ser>
        <ser>
          <idx val="5"/>
          <order val="5"/>
          <tx>
            <v>box6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ratio'!$AD$7:$AH$7</f>
            </numRef>
          </xVal>
          <yVal>
            <numRef>
              <f>'Cl-K ratio'!$AI$7:$AM$7</f>
            </numRef>
          </yVal>
          <smooth val="0"/>
        </ser>
        <ser>
          <idx val="6"/>
          <order val="6"/>
          <tx>
            <v>box7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ratio'!$AD$8:$AH$8</f>
            </numRef>
          </xVal>
          <yVal>
            <numRef>
              <f>'Cl-K ratio'!$AI$8:$AM$8</f>
            </numRef>
          </yVal>
          <smooth val="0"/>
        </ser>
        <ser>
          <idx val="7"/>
          <order val="7"/>
          <tx>
            <v>box8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ratio'!$AD$9:$AH$9</f>
            </numRef>
          </xVal>
          <yVal>
            <numRef>
              <f>'Cl-K ratio'!$AI$9:$AM$9</f>
            </numRef>
          </yVal>
          <smooth val="0"/>
        </ser>
        <ser>
          <idx val="8"/>
          <order val="8"/>
          <tx>
            <v>box9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ratio'!$AD$10:$AH$10</f>
            </numRef>
          </xVal>
          <yVal>
            <numRef>
              <f>'Cl-K ratio'!$AI$10:$AM$10</f>
            </numRef>
          </yVal>
          <smooth val="0"/>
        </ser>
        <ser>
          <idx val="9"/>
          <order val="9"/>
          <tx>
            <v>box10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ratio'!$AD$11:$AH$11</f>
            </numRef>
          </xVal>
          <yVal>
            <numRef>
              <f>'Cl-K ratio'!$AI$11:$AM$11</f>
            </numRef>
          </yVal>
          <smooth val="0"/>
        </ser>
        <ser>
          <idx val="10"/>
          <order val="10"/>
          <tx>
            <v>box11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ratio'!$AD$12:$AH$12</f>
            </numRef>
          </xVal>
          <yVal>
            <numRef>
              <f>'Cl-K ratio'!$AI$12:$AM$12</f>
            </numRef>
          </yVal>
          <smooth val="0"/>
        </ser>
        <ser>
          <idx val="11"/>
          <order val="11"/>
          <tx>
            <v>box12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ratio'!$AD$13:$AH$13</f>
            </numRef>
          </xVal>
          <yVal>
            <numRef>
              <f>'Cl-K ratio'!$AI$13:$AM$13</f>
            </numRef>
          </yVal>
          <smooth val="0"/>
        </ser>
        <ser>
          <idx val="12"/>
          <order val="12"/>
          <tx>
            <v>box13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ratio'!$AD$14:$AH$14</f>
            </numRef>
          </xVal>
          <yVal>
            <numRef>
              <f>'Cl-K ratio'!$AI$14:$AM$14</f>
            </numRef>
          </yVal>
          <smooth val="0"/>
        </ser>
        <ser>
          <idx val="13"/>
          <order val="13"/>
          <tx>
            <v>box14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ratio'!$AD$15:$AH$15</f>
            </numRef>
          </xVal>
          <yVal>
            <numRef>
              <f>'Cl-K ratio'!$AI$15:$AM$15</f>
            </numRef>
          </yVal>
          <smooth val="0"/>
        </ser>
        <ser>
          <idx val="14"/>
          <order val="14"/>
          <tx>
            <v>box15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ratio'!$AD$16:$AH$16</f>
            </numRef>
          </xVal>
          <yVal>
            <numRef>
              <f>'Cl-K ratio'!$AI$16:$AM$16</f>
            </numRef>
          </yVal>
          <smooth val="0"/>
        </ser>
        <ser>
          <idx val="15"/>
          <order val="15"/>
          <tx>
            <v>upper1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ratio'!$V$2:$W$2</f>
            </numRef>
          </xVal>
          <yVal>
            <numRef>
              <f>'Cl-K ratio'!$X$2:$Y$2</f>
            </numRef>
          </yVal>
          <smooth val="0"/>
        </ser>
        <ser>
          <idx val="16"/>
          <order val="16"/>
          <tx>
            <v>upper2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ratio'!$V$3:$W$3</f>
            </numRef>
          </xVal>
          <yVal>
            <numRef>
              <f>'Cl-K ratio'!$X$3:$Y$3</f>
            </numRef>
          </yVal>
          <smooth val="0"/>
        </ser>
        <ser>
          <idx val="17"/>
          <order val="17"/>
          <tx>
            <v>upper3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ratio'!$V$4:$W$4</f>
            </numRef>
          </xVal>
          <yVal>
            <numRef>
              <f>'Cl-K ratio'!$X$4:$Y$4</f>
            </numRef>
          </yVal>
          <smooth val="0"/>
        </ser>
        <ser>
          <idx val="18"/>
          <order val="18"/>
          <tx>
            <v>upper4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ratio'!$V$5:$W$5</f>
            </numRef>
          </xVal>
          <yVal>
            <numRef>
              <f>'Cl-K ratio'!$X$5:$Y$5</f>
            </numRef>
          </yVal>
          <smooth val="0"/>
        </ser>
        <ser>
          <idx val="19"/>
          <order val="19"/>
          <tx>
            <v>upper5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ratio'!$V$6:$W$6</f>
            </numRef>
          </xVal>
          <yVal>
            <numRef>
              <f>'Cl-K ratio'!$X$6:$Y$6</f>
            </numRef>
          </yVal>
          <smooth val="0"/>
        </ser>
        <ser>
          <idx val="20"/>
          <order val="20"/>
          <tx>
            <v>upper6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ratio'!$V$7:$W$7</f>
            </numRef>
          </xVal>
          <yVal>
            <numRef>
              <f>'Cl-K ratio'!$X$7:$Y$7</f>
            </numRef>
          </yVal>
          <smooth val="0"/>
        </ser>
        <ser>
          <idx val="21"/>
          <order val="21"/>
          <tx>
            <v>upper7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ratio'!$V$8:$W$8</f>
            </numRef>
          </xVal>
          <yVal>
            <numRef>
              <f>'Cl-K ratio'!$X$8:$Y$8</f>
            </numRef>
          </yVal>
          <smooth val="0"/>
        </ser>
        <ser>
          <idx val="22"/>
          <order val="22"/>
          <tx>
            <v>upper8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ratio'!$V$9:$W$9</f>
            </numRef>
          </xVal>
          <yVal>
            <numRef>
              <f>'Cl-K ratio'!$X$9:$Y$9</f>
            </numRef>
          </yVal>
          <smooth val="0"/>
        </ser>
        <ser>
          <idx val="23"/>
          <order val="23"/>
          <tx>
            <v>upper9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ratio'!$V$10:$W$10</f>
            </numRef>
          </xVal>
          <yVal>
            <numRef>
              <f>'Cl-K ratio'!$X$10:$Y$10</f>
            </numRef>
          </yVal>
          <smooth val="0"/>
        </ser>
        <ser>
          <idx val="24"/>
          <order val="24"/>
          <tx>
            <v>upper10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ratio'!$V$11:$W$11</f>
            </numRef>
          </xVal>
          <yVal>
            <numRef>
              <f>'Cl-K ratio'!$X$11:$Y$11</f>
            </numRef>
          </yVal>
          <smooth val="0"/>
        </ser>
        <ser>
          <idx val="25"/>
          <order val="25"/>
          <tx>
            <v>upper11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ratio'!$V$12:$W$12</f>
            </numRef>
          </xVal>
          <yVal>
            <numRef>
              <f>'Cl-K ratio'!$X$12:$Y$12</f>
            </numRef>
          </yVal>
          <smooth val="0"/>
        </ser>
        <ser>
          <idx val="26"/>
          <order val="26"/>
          <tx>
            <v>upper12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ratio'!$V$13:$W$13</f>
            </numRef>
          </xVal>
          <yVal>
            <numRef>
              <f>'Cl-K ratio'!$X$13:$Y$13</f>
            </numRef>
          </yVal>
          <smooth val="0"/>
        </ser>
        <ser>
          <idx val="27"/>
          <order val="27"/>
          <tx>
            <v>upper13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ratio'!$V$14:$W$14</f>
            </numRef>
          </xVal>
          <yVal>
            <numRef>
              <f>'Cl-K ratio'!$X$14:$Y$14</f>
            </numRef>
          </yVal>
          <smooth val="0"/>
        </ser>
        <ser>
          <idx val="28"/>
          <order val="28"/>
          <tx>
            <v>upper14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ratio'!$V$15:$W$15</f>
            </numRef>
          </xVal>
          <yVal>
            <numRef>
              <f>'Cl-K ratio'!$X$15:$Y$15</f>
            </numRef>
          </yVal>
          <smooth val="0"/>
        </ser>
        <ser>
          <idx val="29"/>
          <order val="29"/>
          <tx>
            <v>lower1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ratio'!$Z$2:$AA$2</f>
            </numRef>
          </xVal>
          <yVal>
            <numRef>
              <f>'Cl-K ratio'!$AB$2:$AC$2</f>
            </numRef>
          </yVal>
          <smooth val="0"/>
        </ser>
        <ser>
          <idx val="30"/>
          <order val="30"/>
          <tx>
            <v>lower2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ratio'!$Z$3:$AA$3</f>
            </numRef>
          </xVal>
          <yVal>
            <numRef>
              <f>'Cl-K ratio'!$AB$3:$AC$3</f>
            </numRef>
          </yVal>
          <smooth val="0"/>
        </ser>
        <ser>
          <idx val="31"/>
          <order val="31"/>
          <tx>
            <v>lower3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ratio'!$Z$4:$AA$4</f>
            </numRef>
          </xVal>
          <yVal>
            <numRef>
              <f>'Cl-K ratio'!$AB$4:$AC$4</f>
            </numRef>
          </yVal>
          <smooth val="0"/>
        </ser>
        <ser>
          <idx val="32"/>
          <order val="32"/>
          <tx>
            <v>lower4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ratio'!$Z$5:$AA$5</f>
            </numRef>
          </xVal>
          <yVal>
            <numRef>
              <f>'Cl-K ratio'!$AB$5:$AC$5</f>
            </numRef>
          </yVal>
          <smooth val="0"/>
        </ser>
        <ser>
          <idx val="33"/>
          <order val="33"/>
          <tx>
            <v>lower5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ratio'!$Z$6:$AA$6</f>
            </numRef>
          </xVal>
          <yVal>
            <numRef>
              <f>'Cl-K ratio'!$AB$6:$AC$6</f>
            </numRef>
          </yVal>
          <smooth val="0"/>
        </ser>
        <ser>
          <idx val="34"/>
          <order val="34"/>
          <tx>
            <v>lower6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ratio'!$Z$7:$AA$7</f>
            </numRef>
          </xVal>
          <yVal>
            <numRef>
              <f>'Cl-K ratio'!$AB$7:$AC$7</f>
            </numRef>
          </yVal>
          <smooth val="0"/>
        </ser>
        <ser>
          <idx val="35"/>
          <order val="35"/>
          <tx>
            <v>lower7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ratio'!$Z$8:$AA$8</f>
            </numRef>
          </xVal>
          <yVal>
            <numRef>
              <f>'Cl-K ratio'!$AB$8:$AC$8</f>
            </numRef>
          </yVal>
          <smooth val="0"/>
        </ser>
        <ser>
          <idx val="36"/>
          <order val="36"/>
          <tx>
            <v>lower8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ratio'!$Z$9:$AA$9</f>
            </numRef>
          </xVal>
          <yVal>
            <numRef>
              <f>'Cl-K ratio'!$AB$9:$AC$9</f>
            </numRef>
          </yVal>
          <smooth val="0"/>
        </ser>
        <ser>
          <idx val="37"/>
          <order val="37"/>
          <tx>
            <v>lower9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ratio'!$Z$10:$AA$10</f>
            </numRef>
          </xVal>
          <yVal>
            <numRef>
              <f>'Cl-K ratio'!$AB$10:$AC$10</f>
            </numRef>
          </yVal>
          <smooth val="0"/>
        </ser>
        <ser>
          <idx val="38"/>
          <order val="38"/>
          <tx>
            <v>lower10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ratio'!$Z$11:$AA$11</f>
            </numRef>
          </xVal>
          <yVal>
            <numRef>
              <f>'Cl-K ratio'!$AB$11:$AC$11</f>
            </numRef>
          </yVal>
          <smooth val="0"/>
        </ser>
        <ser>
          <idx val="39"/>
          <order val="39"/>
          <tx>
            <v>lower11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ratio'!$Z$12:$AA$12</f>
            </numRef>
          </xVal>
          <yVal>
            <numRef>
              <f>'Cl-K ratio'!$AB$12:$AC$12</f>
            </numRef>
          </yVal>
          <smooth val="0"/>
        </ser>
        <ser>
          <idx val="40"/>
          <order val="40"/>
          <tx>
            <v>lower12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ratio'!$Z$13:$AA$13</f>
            </numRef>
          </xVal>
          <yVal>
            <numRef>
              <f>'Cl-K ratio'!$AB$13:$AC$13</f>
            </numRef>
          </yVal>
          <smooth val="0"/>
        </ser>
        <ser>
          <idx val="41"/>
          <order val="41"/>
          <tx>
            <v>lower13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ratio'!$Z$14:$AA$14</f>
            </numRef>
          </xVal>
          <yVal>
            <numRef>
              <f>'Cl-K ratio'!$AB$14:$AC$14</f>
            </numRef>
          </yVal>
          <smooth val="0"/>
        </ser>
        <ser>
          <idx val="42"/>
          <order val="42"/>
          <tx>
            <v>lower14</v>
          </tx>
          <spPr>
            <a:ln xmlns:a="http://schemas.openxmlformats.org/drawingml/2006/main" w="1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'Cl-K ratio'!$Z$15:$AA$15</f>
            </numRef>
          </xVal>
          <yVal>
            <numRef>
              <f>'Cl-K ratio'!$AB$15:$AC$15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12848479"/>
        <axId val="1312848895"/>
      </scatterChart>
      <valAx>
        <axId val="1312848479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2000" b="0"/>
                </a:pPr>
                <a:r>
                  <a:rPr lang="en-US" sz="2000" b="0"/>
                  <a:t>Cumulative ³⁹Ar(K) released (%)</a:t>
                </a:r>
              </a:p>
            </rich>
          </tx>
          <layout/>
          <overlay val="0"/>
        </title>
        <numFmt formatCode="General" sourceLinked="1"/>
        <majorTickMark val="out"/>
        <minorTickMark val="out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2000"/>
            </a:pPr>
            <a:r>
              <a:t>None</a:t>
            </a:r>
            <a:endParaRPr lang="zh-TW"/>
          </a:p>
        </txPr>
        <crossAx val="1312848895"/>
        <crossesAt val="-0.02"/>
        <crossBetween val="midCat"/>
        <minorUnit val="2"/>
      </valAx>
      <valAx>
        <axId val="1312848895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2000" b="0"/>
                </a:pPr>
                <a:r>
                  <a:rPr lang="en-US" sz="2000" b="0"/>
                  <a:t>Cl/K ratio</a:t>
                </a:r>
              </a:p>
            </rich>
          </tx>
          <layout/>
          <overlay val="0"/>
        </title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1312848479"/>
        <crossesAt val="-0.02"/>
        <crossBetween val="midCat"/>
      </valAx>
      <spPr xmlns:a="http://schemas.openxmlformats.org/drawingml/2006/main">
        <a:ln w="25400">
          <a:solidFill>
            <a:srgbClr val="000000"/>
          </a:solidFill>
        </a:ln>
      </spPr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twoCellAnchor>
    <from>
      <col>0</col>
      <colOff>53340</colOff>
      <row>20</row>
      <rowOff>38100</rowOff>
    </from>
    <to>
      <col>7</col>
      <colOff>22860</colOff>
      <row>45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53340</colOff>
      <row>20</row>
      <rowOff>38100</rowOff>
    </from>
    <to>
      <col>7</col>
      <colOff>22860</colOff>
      <row>45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6</col>
      <colOff>144949</colOff>
      <row>18</row>
      <rowOff>68892</rowOff>
    </from>
    <to>
      <col>19</col>
      <colOff>332509</colOff>
      <row>67</row>
      <rowOff>13854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2</col>
      <colOff>508463</colOff>
      <row>16</row>
      <rowOff>133351</rowOff>
    </from>
    <to>
      <col>15</col>
      <colOff>637779</colOff>
      <row>49</row>
      <rowOff>104776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19</col>
      <colOff>41738</colOff>
      <row>26</row>
      <rowOff>152396</rowOff>
    </from>
    <to>
      <col>32</col>
      <colOff>190103</colOff>
      <row>62</row>
      <rowOff>152152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F:\ArAr%20research\Age%20Spectrum\0621-01C%20%2360%20NO.65%20Phengite\reCalc0621-01C%20%2360%20NO.65%20Phengit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 data"/>
      <sheetName val="output data"/>
      <sheetName val="工作表1"/>
      <sheetName val="ArgonXML"/>
      <sheetName val="inverse isochron"/>
      <sheetName val="Age spectrum"/>
      <sheetName val="Ca K ratio"/>
      <sheetName val="asymptotes and limit"/>
      <sheetName val="isoplotR"/>
      <sheetName val="arrmulti_input"/>
      <sheetName val="arrmulti_output"/>
      <sheetName val="agemon_multi_output"/>
    </sheetNames>
    <sheetDataSet>
      <sheetData sheetId="0">
        <row r="2">
          <cell r="B2">
            <v>1.1399999999999999E-5</v>
          </cell>
          <cell r="C2">
            <v>8.5099999999999998E-6</v>
          </cell>
          <cell r="F2">
            <v>1.5299999999999999E-5</v>
          </cell>
          <cell r="G2">
            <v>9.5400000000000001E-6</v>
          </cell>
          <cell r="J2">
            <v>1.6699999999999999E-5</v>
          </cell>
          <cell r="K2">
            <v>6.6699999999999997E-6</v>
          </cell>
          <cell r="N2">
            <v>1.13E-5</v>
          </cell>
          <cell r="O2">
            <v>7.9300000000000003E-6</v>
          </cell>
          <cell r="R2">
            <v>1.31E-5</v>
          </cell>
          <cell r="S2">
            <v>8.1699999999999997E-6</v>
          </cell>
          <cell r="V2">
            <v>1.2E-5</v>
          </cell>
          <cell r="W2">
            <v>6.7499999999999997E-6</v>
          </cell>
          <cell r="Z2">
            <v>9.1800000000000002E-6</v>
          </cell>
          <cell r="AA2">
            <v>9.0499999999999997E-6</v>
          </cell>
          <cell r="AD2">
            <v>1.38E-5</v>
          </cell>
          <cell r="AE2">
            <v>5.6799999999999998E-6</v>
          </cell>
          <cell r="AH2">
            <v>1.6899999999999999E-6</v>
          </cell>
          <cell r="AI2">
            <v>6.0599999999999996E-6</v>
          </cell>
          <cell r="AL2">
            <v>1.17E-5</v>
          </cell>
          <cell r="AM2">
            <v>5.4999999999999999E-6</v>
          </cell>
          <cell r="AP2">
            <v>6.8600000000000004E-6</v>
          </cell>
          <cell r="AQ2">
            <v>7.9899999999999997E-6</v>
          </cell>
          <cell r="AT2">
            <v>1.27E-5</v>
          </cell>
          <cell r="AU2">
            <v>7.25E-6</v>
          </cell>
          <cell r="AX2">
            <v>1.88E-6</v>
          </cell>
          <cell r="AY2">
            <v>6.3600000000000001E-6</v>
          </cell>
          <cell r="BB2">
            <v>7.4399999999999999E-6</v>
          </cell>
          <cell r="BC2">
            <v>7.0899999999999999E-6</v>
          </cell>
          <cell r="BF2">
            <v>4.6E-5</v>
          </cell>
          <cell r="BG2">
            <v>5.9399999999999999E-6</v>
          </cell>
        </row>
        <row r="5">
          <cell r="B5">
            <v>1.4464E-4</v>
          </cell>
          <cell r="C5">
            <v>5.4199999999999998E-6</v>
          </cell>
          <cell r="F5">
            <v>3.3612300000000002E-4</v>
          </cell>
          <cell r="G5">
            <v>5.6999999999999996E-6</v>
          </cell>
          <cell r="J5">
            <v>2.0603099999999999E-4</v>
          </cell>
          <cell r="K5">
            <v>7.1500000000000002E-6</v>
          </cell>
          <cell r="N5">
            <v>2.31408E-4</v>
          </cell>
          <cell r="O5">
            <v>5.1900000000000003E-6</v>
          </cell>
          <cell r="R5">
            <v>7.7399999999999998E-5</v>
          </cell>
          <cell r="S5">
            <v>6.1999999999999999E-6</v>
          </cell>
          <cell r="V5">
            <v>1.9700000000000001E-5</v>
          </cell>
          <cell r="W5">
            <v>5.7100000000000004E-6</v>
          </cell>
          <cell r="Z5">
            <v>8.3699999999999995E-6</v>
          </cell>
          <cell r="AA5">
            <v>6.64E-6</v>
          </cell>
          <cell r="AD5">
            <v>3.1377100000000002E-4</v>
          </cell>
          <cell r="AE5">
            <v>6.3600000000000001E-6</v>
          </cell>
          <cell r="AH5">
            <v>6.7199999999999994E-5</v>
          </cell>
          <cell r="AI5">
            <v>5.6400000000000002E-6</v>
          </cell>
          <cell r="AL5">
            <v>5.0000000000000004E-6</v>
          </cell>
          <cell r="AM5">
            <v>6.3600000000000001E-6</v>
          </cell>
          <cell r="AP5">
            <v>1.13131E-4</v>
          </cell>
          <cell r="AQ5">
            <v>7.1199999999999996E-6</v>
          </cell>
          <cell r="AT5">
            <v>1.0778899999999999E-4</v>
          </cell>
          <cell r="AU5">
            <v>5.0200000000000002E-6</v>
          </cell>
          <cell r="AX5">
            <v>7.52E-6</v>
          </cell>
          <cell r="AY5">
            <v>6.7900000000000002E-6</v>
          </cell>
          <cell r="BB5">
            <v>2.9099999999999999E-5</v>
          </cell>
          <cell r="BC5">
            <v>7.6599999999999995E-6</v>
          </cell>
          <cell r="BF5">
            <v>2.6599999999999999E-5</v>
          </cell>
          <cell r="BG5">
            <v>7.1500000000000002E-6</v>
          </cell>
        </row>
        <row r="7">
          <cell r="B7">
            <v>3.9299999999999996E-6</v>
          </cell>
          <cell r="C7">
            <v>1.06E-5</v>
          </cell>
          <cell r="F7">
            <v>6.2600000000000004E-5</v>
          </cell>
          <cell r="G7">
            <v>4.6600000000000003E-6</v>
          </cell>
          <cell r="J7">
            <v>4.3900000000000003E-5</v>
          </cell>
          <cell r="K7">
            <v>5.5799999999999999E-6</v>
          </cell>
          <cell r="N7">
            <v>3.5491E-4</v>
          </cell>
          <cell r="O7">
            <v>5.22E-6</v>
          </cell>
          <cell r="R7">
            <v>5.9368500000000005E-4</v>
          </cell>
          <cell r="S7">
            <v>6.4400000000000002E-6</v>
          </cell>
          <cell r="V7">
            <v>5.3397799999999995E-4</v>
          </cell>
          <cell r="W7">
            <v>7.0899999999999999E-6</v>
          </cell>
          <cell r="Z7">
            <v>3.6328800000000002E-4</v>
          </cell>
          <cell r="AA7">
            <v>5.5300000000000004E-6</v>
          </cell>
          <cell r="AD7">
            <v>2.5339200000000002E-4</v>
          </cell>
          <cell r="AE7">
            <v>5.13E-6</v>
          </cell>
          <cell r="AH7">
            <v>1.7793799999999999E-4</v>
          </cell>
          <cell r="AI7">
            <v>5.4600000000000002E-6</v>
          </cell>
          <cell r="AL7">
            <v>7.64E-5</v>
          </cell>
          <cell r="AM7">
            <v>5.5099999999999998E-6</v>
          </cell>
          <cell r="AP7">
            <v>7.4200000000000001E-5</v>
          </cell>
          <cell r="AQ7">
            <v>5.9599999999999997E-6</v>
          </cell>
          <cell r="AT7">
            <v>2.9200000000000002E-5</v>
          </cell>
          <cell r="AU7">
            <v>6.6200000000000001E-6</v>
          </cell>
          <cell r="AX7">
            <v>3.0400000000000001E-6</v>
          </cell>
          <cell r="AY7">
            <v>5.7400000000000001E-6</v>
          </cell>
          <cell r="BB7">
            <v>2.65E-5</v>
          </cell>
          <cell r="BC7">
            <v>4.9799999999999998E-6</v>
          </cell>
          <cell r="BF7">
            <v>5.3000000000000001E-5</v>
          </cell>
          <cell r="BG7">
            <v>7.6799999999999993E-6</v>
          </cell>
        </row>
        <row r="10">
          <cell r="B10">
            <v>3.22367E-4</v>
          </cell>
          <cell r="C10">
            <v>4.4700000000000004E-6</v>
          </cell>
          <cell r="F10">
            <v>2.0938200000000001E-3</v>
          </cell>
          <cell r="G10">
            <v>8.2900000000000002E-6</v>
          </cell>
          <cell r="J10">
            <v>7.5029620000000002E-3</v>
          </cell>
          <cell r="K10">
            <v>4.51E-6</v>
          </cell>
          <cell r="N10">
            <v>2.1316336000000002E-2</v>
          </cell>
          <cell r="O10">
            <v>5.9699999999999996E-6</v>
          </cell>
          <cell r="R10">
            <v>3.8936146999999997E-2</v>
          </cell>
          <cell r="S10">
            <v>9.2E-6</v>
          </cell>
          <cell r="V10">
            <v>4.3277479000000001E-2</v>
          </cell>
          <cell r="W10">
            <v>1.27E-5</v>
          </cell>
          <cell r="Z10">
            <v>3.7734641999999999E-2</v>
          </cell>
          <cell r="AA10">
            <v>6.28E-6</v>
          </cell>
          <cell r="AD10">
            <v>2.8121154999999998E-2</v>
          </cell>
          <cell r="AE10">
            <v>5.8799999999999996E-6</v>
          </cell>
          <cell r="AH10">
            <v>1.9302264999999999E-2</v>
          </cell>
          <cell r="AI10">
            <v>6.5899999999999996E-6</v>
          </cell>
          <cell r="AL10">
            <v>1.2174172E-2</v>
          </cell>
          <cell r="AM10">
            <v>6.7800000000000003E-6</v>
          </cell>
          <cell r="AP10">
            <v>7.6168720000000002E-3</v>
          </cell>
          <cell r="AQ10">
            <v>6.9600000000000003E-6</v>
          </cell>
          <cell r="AT10">
            <v>4.8703160000000004E-3</v>
          </cell>
          <cell r="AU10">
            <v>4.6E-6</v>
          </cell>
          <cell r="AX10">
            <v>3.056759E-3</v>
          </cell>
          <cell r="AY10">
            <v>5.6799999999999998E-6</v>
          </cell>
          <cell r="BB10">
            <v>1.9213959999999999E-3</v>
          </cell>
          <cell r="BC10">
            <v>5.6400000000000002E-6</v>
          </cell>
          <cell r="BF10">
            <v>1.270951E-3</v>
          </cell>
          <cell r="BG10">
            <v>4.7600000000000002E-6</v>
          </cell>
        </row>
        <row r="11">
          <cell r="B11">
            <v>3.22312E-4</v>
          </cell>
          <cell r="F11">
            <v>2.0936930000000002E-3</v>
          </cell>
          <cell r="J11">
            <v>7.5028849999999999E-3</v>
          </cell>
          <cell r="N11">
            <v>2.1316248999999999E-2</v>
          </cell>
          <cell r="R11">
            <v>3.8936116999999999E-2</v>
          </cell>
          <cell r="V11">
            <v>4.3277471999999997E-2</v>
          </cell>
          <cell r="Z11">
            <v>3.7734639E-2</v>
          </cell>
          <cell r="AD11">
            <v>2.8121035999999999E-2</v>
          </cell>
          <cell r="AH11">
            <v>1.9302238999999999E-2</v>
          </cell>
          <cell r="AL11">
            <v>1.217417E-2</v>
          </cell>
          <cell r="AP11">
            <v>7.6168290000000003E-3</v>
          </cell>
          <cell r="AT11">
            <v>4.8702750000000003E-3</v>
          </cell>
          <cell r="AX11">
            <v>3.0567559999999999E-3</v>
          </cell>
          <cell r="BB11">
            <v>1.9213850000000001E-3</v>
          </cell>
          <cell r="BF11">
            <v>1.270941E-3</v>
          </cell>
        </row>
        <row r="13">
          <cell r="B13">
            <v>5.6102210000000003E-3</v>
          </cell>
          <cell r="C13">
            <v>6.9500000000000004E-6</v>
          </cell>
          <cell r="F13">
            <v>6.3918880000000001E-3</v>
          </cell>
          <cell r="G13">
            <v>4.4900000000000002E-6</v>
          </cell>
          <cell r="J13">
            <v>1.2314304E-2</v>
          </cell>
          <cell r="K13">
            <v>5.9399999999999999E-6</v>
          </cell>
          <cell r="N13">
            <v>2.5625255E-2</v>
          </cell>
          <cell r="O13">
            <v>6.1800000000000001E-6</v>
          </cell>
          <cell r="R13">
            <v>3.9183931999999998E-2</v>
          </cell>
          <cell r="S13">
            <v>1.19E-5</v>
          </cell>
          <cell r="V13">
            <v>4.2579036000000001E-2</v>
          </cell>
          <cell r="W13">
            <v>1.3900000000000001E-5</v>
          </cell>
          <cell r="Z13">
            <v>3.7480232000000002E-2</v>
          </cell>
          <cell r="AA13">
            <v>1.15E-5</v>
          </cell>
          <cell r="AD13">
            <v>2.9247933E-2</v>
          </cell>
          <cell r="AE13">
            <v>6.02E-6</v>
          </cell>
          <cell r="AH13">
            <v>2.0513536999999998E-2</v>
          </cell>
          <cell r="AI13">
            <v>6.0599999999999996E-6</v>
          </cell>
          <cell r="AL13">
            <v>1.3634069E-2</v>
          </cell>
          <cell r="AM13">
            <v>6.5100000000000004E-6</v>
          </cell>
          <cell r="AP13">
            <v>9.1854669999999992E-3</v>
          </cell>
          <cell r="AQ13">
            <v>4.51E-6</v>
          </cell>
          <cell r="AT13">
            <v>6.7565769999999997E-3</v>
          </cell>
          <cell r="AU13">
            <v>5.8000000000000004E-6</v>
          </cell>
          <cell r="AX13">
            <v>5.2071540000000003E-3</v>
          </cell>
          <cell r="AY13">
            <v>6.5899999999999996E-6</v>
          </cell>
          <cell r="BB13">
            <v>4.323955E-3</v>
          </cell>
          <cell r="BC13">
            <v>7.43E-6</v>
          </cell>
          <cell r="BF13">
            <v>4.1847209999999998E-3</v>
          </cell>
          <cell r="BG13">
            <v>4.2899999999999996E-6</v>
          </cell>
        </row>
        <row r="14">
          <cell r="B14">
            <v>2.2019129999999998E-3</v>
          </cell>
          <cell r="F14">
            <v>1.7856840000000001E-3</v>
          </cell>
          <cell r="J14">
            <v>7.1479559999999996E-3</v>
          </cell>
          <cell r="N14">
            <v>2.1711522E-2</v>
          </cell>
          <cell r="R14">
            <v>3.4313738000000003E-2</v>
          </cell>
          <cell r="V14">
            <v>3.7926623E-2</v>
          </cell>
          <cell r="Z14">
            <v>3.3797307999999998E-2</v>
          </cell>
          <cell r="AD14">
            <v>2.4438133000000001E-2</v>
          </cell>
          <cell r="AH14">
            <v>1.9526313E-2</v>
          </cell>
          <cell r="AL14">
            <v>9.8326799999999999E-3</v>
          </cell>
          <cell r="AP14">
            <v>6.9468480000000003E-3</v>
          </cell>
          <cell r="AT14">
            <v>2.8355279999999999E-3</v>
          </cell>
          <cell r="AX14">
            <v>4.568936E-3</v>
          </cell>
          <cell r="BB14">
            <v>2.055851E-3</v>
          </cell>
          <cell r="BF14">
            <v>-9.5816140000000005E-3</v>
          </cell>
        </row>
        <row r="20">
          <cell r="B20">
            <v>6.8316152639999999</v>
          </cell>
          <cell r="C20">
            <v>8.0330751710000001</v>
          </cell>
          <cell r="F20">
            <v>0.852887226</v>
          </cell>
          <cell r="G20">
            <v>1.36922907</v>
          </cell>
          <cell r="J20">
            <v>0.95269434200000003</v>
          </cell>
          <cell r="K20">
            <v>0.26588427999999997</v>
          </cell>
          <cell r="N20">
            <v>1.018543269</v>
          </cell>
          <cell r="O20">
            <v>0.11107110000000001</v>
          </cell>
          <cell r="R20">
            <v>0.88128298299999996</v>
          </cell>
          <cell r="S20">
            <v>6.2693634999999998E-2</v>
          </cell>
          <cell r="V20">
            <v>0.87635949599999996</v>
          </cell>
          <cell r="W20">
            <v>4.6613554000000001E-2</v>
          </cell>
          <cell r="Z20">
            <v>0.89565737000000001</v>
          </cell>
          <cell r="AA20">
            <v>7.1625210999999994E-2</v>
          </cell>
          <cell r="AD20">
            <v>0.86903386699999996</v>
          </cell>
          <cell r="AE20">
            <v>6.0340815999999999E-2</v>
          </cell>
          <cell r="AH20">
            <v>1.011608676</v>
          </cell>
          <cell r="AI20">
            <v>9.3709072000000004E-2</v>
          </cell>
          <cell r="AL20">
            <v>0.80766736100000003</v>
          </cell>
          <cell r="AM20">
            <v>0.13496177400000001</v>
          </cell>
          <cell r="AP20">
            <v>0.91203930799999999</v>
          </cell>
          <cell r="AQ20">
            <v>0.31329111199999998</v>
          </cell>
          <cell r="AT20">
            <v>0.58221104300000004</v>
          </cell>
          <cell r="AU20">
            <v>0.445041823</v>
          </cell>
          <cell r="AX20">
            <v>1.4947009490000001</v>
          </cell>
          <cell r="AY20">
            <v>0.62156455799999999</v>
          </cell>
          <cell r="BB20">
            <v>1.0699837109999999</v>
          </cell>
          <cell r="BC20">
            <v>1.1057749160000001</v>
          </cell>
          <cell r="BF20">
            <v>-7.5389899040000001</v>
          </cell>
          <cell r="BG20">
            <v>1.4348939270000001</v>
          </cell>
        </row>
        <row r="25">
          <cell r="B25">
            <v>73172836.370000005</v>
          </cell>
          <cell r="C25">
            <v>84336255.060000002</v>
          </cell>
          <cell r="F25">
            <v>9297403.1989999991</v>
          </cell>
          <cell r="G25">
            <v>14888065.16</v>
          </cell>
          <cell r="J25">
            <v>10382314.689999999</v>
          </cell>
          <cell r="K25">
            <v>2889323.7880000002</v>
          </cell>
          <cell r="N25">
            <v>11097744.26</v>
          </cell>
          <cell r="O25">
            <v>1206519.865</v>
          </cell>
          <cell r="R25">
            <v>9606133.1699999999</v>
          </cell>
          <cell r="S25">
            <v>681574.26489999995</v>
          </cell>
          <cell r="V25">
            <v>9552606.8129999992</v>
          </cell>
          <cell r="W25">
            <v>506775.54830000002</v>
          </cell>
          <cell r="Z25">
            <v>9762397.2780000009</v>
          </cell>
          <cell r="AA25">
            <v>778606.69949999999</v>
          </cell>
          <cell r="AD25">
            <v>9472962.3230000008</v>
          </cell>
          <cell r="AE25">
            <v>656043.62210000004</v>
          </cell>
          <cell r="AH25">
            <v>11022415.15</v>
          </cell>
          <cell r="AI25">
            <v>1017965.821</v>
          </cell>
          <cell r="AL25">
            <v>8805646.7870000005</v>
          </cell>
          <cell r="AM25">
            <v>1467879.4439999999</v>
          </cell>
          <cell r="AP25">
            <v>9940469.1539999992</v>
          </cell>
          <cell r="AQ25">
            <v>3405312.3119999999</v>
          </cell>
          <cell r="AT25">
            <v>6351874.2769999998</v>
          </cell>
          <cell r="AU25">
            <v>4846913.6169999996</v>
          </cell>
          <cell r="AX25">
            <v>16262714.33</v>
          </cell>
          <cell r="AY25">
            <v>6732675.8039999995</v>
          </cell>
          <cell r="BB25">
            <v>11656434.369999999</v>
          </cell>
          <cell r="BC25">
            <v>12007882.48</v>
          </cell>
          <cell r="BF25">
            <v>-84314993.189999998</v>
          </cell>
          <cell r="BG25">
            <v>16424868.35</v>
          </cell>
        </row>
        <row r="43">
          <cell r="B43">
            <v>-8.2502169371540621E-3</v>
          </cell>
          <cell r="C43">
            <v>-3.3256917826086627E-2</v>
          </cell>
          <cell r="F43">
            <v>1.4745598221087333E-2</v>
          </cell>
          <cell r="G43">
            <v>2.3869017225803544E-3</v>
          </cell>
          <cell r="J43">
            <v>-8.3447116570046047E-3</v>
          </cell>
          <cell r="K43">
            <v>-7.6241296721386962E-4</v>
          </cell>
          <cell r="N43">
            <v>2.7735847125345109E-3</v>
          </cell>
          <cell r="O43">
            <v>2.5475572197150619E-4</v>
          </cell>
          <cell r="R43">
            <v>1.4080188283081001E-3</v>
          </cell>
          <cell r="S43">
            <v>1.7009404625297479E-4</v>
          </cell>
          <cell r="V43">
            <v>-1.4900215246650269E-3</v>
          </cell>
          <cell r="W43">
            <v>-1.6649341073255957E-4</v>
          </cell>
          <cell r="Z43">
            <v>-4.1946461471734486E-3</v>
          </cell>
          <cell r="AA43">
            <v>-1.5338304847534661E-4</v>
          </cell>
          <cell r="AD43">
            <v>-4.8579693740032886E-3</v>
          </cell>
          <cell r="AE43">
            <v>-1.8638080431385471E-4</v>
          </cell>
          <cell r="AH43">
            <v>-4.5742169950714522E-3</v>
          </cell>
          <cell r="AI43">
            <v>-2.8903520989132626E-4</v>
          </cell>
          <cell r="AL43">
            <v>-7.6818053144427911E-3</v>
          </cell>
          <cell r="AM43">
            <v>-4.6062334612761958E-4</v>
          </cell>
          <cell r="AP43">
            <v>-4.2044124343399315E-3</v>
          </cell>
          <cell r="AQ43">
            <v>-8.071782057638108E-4</v>
          </cell>
          <cell r="AT43">
            <v>-8.272217419545095E-3</v>
          </cell>
          <cell r="AU43">
            <v>-1.3879991874411633E-3</v>
          </cell>
          <cell r="AX43">
            <v>-1.2897643990270729E-2</v>
          </cell>
          <cell r="AY43">
            <v>-1.9186467035853189E-3</v>
          </cell>
          <cell r="BB43">
            <v>-7.1400565590186242E-4</v>
          </cell>
          <cell r="BC43">
            <v>-2.6838822121905337E-3</v>
          </cell>
          <cell r="BF43">
            <v>2.110265208102579E-2</v>
          </cell>
          <cell r="BG43">
            <v>6.1073316497584507E-3</v>
          </cell>
        </row>
        <row r="44">
          <cell r="B44">
            <v>0.44875772543374121</v>
          </cell>
          <cell r="C44">
            <v>1.7930739925449905E-2</v>
          </cell>
          <cell r="F44">
            <v>0.16054072875058567</v>
          </cell>
          <cell r="G44">
            <v>2.7956872901852788E-3</v>
          </cell>
          <cell r="J44">
            <v>2.7460236962181878E-2</v>
          </cell>
          <cell r="K44">
            <v>9.5310970239715351E-4</v>
          </cell>
          <cell r="N44">
            <v>1.0855943745074474E-2</v>
          </cell>
          <cell r="O44">
            <v>2.4349521534887359E-4</v>
          </cell>
          <cell r="R44">
            <v>1.9878715692168277E-3</v>
          </cell>
          <cell r="S44">
            <v>1.592358830498151E-4</v>
          </cell>
          <cell r="V44">
            <v>4.552021892591139E-4</v>
          </cell>
          <cell r="W44">
            <v>1.3193938237680142E-4</v>
          </cell>
          <cell r="Z44">
            <v>2.2181211273811311E-4</v>
          </cell>
          <cell r="AA44">
            <v>1.7596564647442275E-4</v>
          </cell>
          <cell r="AD44">
            <v>1.1157874837897154E-2</v>
          </cell>
          <cell r="AE44">
            <v>2.2617724294085007E-4</v>
          </cell>
          <cell r="AH44">
            <v>3.4814613993744453E-3</v>
          </cell>
          <cell r="AI44">
            <v>2.9219649928292191E-4</v>
          </cell>
          <cell r="AL44">
            <v>4.1070561689215778E-4</v>
          </cell>
          <cell r="AM44">
            <v>5.2241759475873712E-4</v>
          </cell>
          <cell r="AP44">
            <v>1.4852768783439932E-2</v>
          </cell>
          <cell r="AQ44">
            <v>9.3487072023878547E-4</v>
          </cell>
          <cell r="AT44">
            <v>2.2132015132615711E-2</v>
          </cell>
          <cell r="AU44">
            <v>1.0309545634522182E-3</v>
          </cell>
          <cell r="AX44">
            <v>2.4601243933110787E-3</v>
          </cell>
          <cell r="AY44">
            <v>2.2213138302175548E-3</v>
          </cell>
          <cell r="BB44">
            <v>1.514532485680902E-2</v>
          </cell>
          <cell r="BC44">
            <v>3.9869553779828997E-3</v>
          </cell>
          <cell r="BF44">
            <v>2.092937437693803E-2</v>
          </cell>
          <cell r="BG44">
            <v>5.6262989514717383E-3</v>
          </cell>
        </row>
      </sheetData>
      <sheetData sheetId="1">
        <row r="5">
          <cell r="C5">
            <v>5.6102210000000003E-3</v>
          </cell>
          <cell r="D5">
            <v>6.9500000000000004E-6</v>
          </cell>
          <cell r="E5">
            <v>3.22367E-4</v>
          </cell>
          <cell r="F5">
            <v>4.4700000000000004E-6</v>
          </cell>
          <cell r="K5">
            <v>1.1399999999999999E-5</v>
          </cell>
          <cell r="L5">
            <v>8.5099999999999998E-6</v>
          </cell>
          <cell r="S5">
            <v>0.44875772543374121</v>
          </cell>
          <cell r="T5">
            <v>1.7930739925449905E-2</v>
          </cell>
          <cell r="Y5">
            <v>0.14043055756593678</v>
          </cell>
        </row>
        <row r="6">
          <cell r="C6">
            <v>6.3918880000000001E-3</v>
          </cell>
          <cell r="D6">
            <v>4.4900000000000002E-6</v>
          </cell>
          <cell r="E6">
            <v>2.0938200000000001E-3</v>
          </cell>
          <cell r="F6">
            <v>8.2900000000000002E-6</v>
          </cell>
          <cell r="K6">
            <v>1.5299999999999999E-5</v>
          </cell>
          <cell r="L6">
            <v>9.5400000000000001E-6</v>
          </cell>
          <cell r="S6">
            <v>0.16054072875058567</v>
          </cell>
          <cell r="T6">
            <v>2.7956872901852788E-3</v>
          </cell>
          <cell r="Y6">
            <v>1.0526475254787011</v>
          </cell>
        </row>
        <row r="7">
          <cell r="C7">
            <v>1.2314304E-2</v>
          </cell>
          <cell r="D7">
            <v>5.9399999999999999E-6</v>
          </cell>
          <cell r="E7">
            <v>7.5029620000000002E-3</v>
          </cell>
          <cell r="F7">
            <v>4.51E-6</v>
          </cell>
          <cell r="K7">
            <v>1.6699999999999999E-5</v>
          </cell>
          <cell r="L7">
            <v>6.6699999999999997E-6</v>
          </cell>
          <cell r="S7">
            <v>2.7460236962181878E-2</v>
          </cell>
          <cell r="T7">
            <v>9.5310970239715351E-4</v>
          </cell>
          <cell r="Y7">
            <v>3.271404822987241</v>
          </cell>
        </row>
        <row r="8">
          <cell r="C8">
            <v>2.5625255E-2</v>
          </cell>
          <cell r="D8">
            <v>6.1800000000000001E-6</v>
          </cell>
          <cell r="E8">
            <v>2.1316336000000002E-2</v>
          </cell>
          <cell r="F8">
            <v>5.9699999999999996E-6</v>
          </cell>
          <cell r="K8">
            <v>1.13E-5</v>
          </cell>
          <cell r="L8">
            <v>7.9300000000000003E-6</v>
          </cell>
          <cell r="S8">
            <v>1.0855943745074474E-2</v>
          </cell>
          <cell r="T8">
            <v>2.4349521534887359E-4</v>
          </cell>
          <cell r="Y8">
            <v>13.609074391954184</v>
          </cell>
        </row>
        <row r="9">
          <cell r="C9">
            <v>3.9183931999999998E-2</v>
          </cell>
          <cell r="D9">
            <v>1.19E-5</v>
          </cell>
          <cell r="E9">
            <v>3.8936146999999997E-2</v>
          </cell>
          <cell r="F9">
            <v>9.2E-6</v>
          </cell>
          <cell r="K9">
            <v>1.31E-5</v>
          </cell>
          <cell r="L9">
            <v>8.1699999999999997E-6</v>
          </cell>
          <cell r="S9">
            <v>1.9878715692168277E-3</v>
          </cell>
          <cell r="T9">
            <v>1.592358830498151E-4</v>
          </cell>
          <cell r="Y9">
            <v>30.573446242094889</v>
          </cell>
        </row>
        <row r="10">
          <cell r="C10">
            <v>4.2579036000000001E-2</v>
          </cell>
          <cell r="D10">
            <v>1.3900000000000001E-5</v>
          </cell>
          <cell r="E10">
            <v>4.3277479000000001E-2</v>
          </cell>
          <cell r="F10">
            <v>1.27E-5</v>
          </cell>
          <cell r="K10">
            <v>1.2E-5</v>
          </cell>
          <cell r="L10">
            <v>6.7499999999999997E-6</v>
          </cell>
          <cell r="S10">
            <v>4.552021892591139E-4</v>
          </cell>
          <cell r="T10">
            <v>1.3193938237680142E-4</v>
          </cell>
          <cell r="Y10">
            <v>49.429335948355337</v>
          </cell>
        </row>
        <row r="11">
          <cell r="C11">
            <v>3.7480232000000002E-2</v>
          </cell>
          <cell r="D11">
            <v>1.15E-5</v>
          </cell>
          <cell r="E11">
            <v>3.7734641999999999E-2</v>
          </cell>
          <cell r="F11">
            <v>6.28E-6</v>
          </cell>
          <cell r="K11">
            <v>9.1800000000000002E-6</v>
          </cell>
          <cell r="L11">
            <v>9.0499999999999997E-6</v>
          </cell>
          <cell r="S11">
            <v>2.2181211273811311E-4</v>
          </cell>
          <cell r="T11">
            <v>1.7596564647442275E-4</v>
          </cell>
          <cell r="Y11">
            <v>65.870226744600416</v>
          </cell>
        </row>
        <row r="12">
          <cell r="C12">
            <v>2.9247933E-2</v>
          </cell>
          <cell r="D12">
            <v>6.02E-6</v>
          </cell>
          <cell r="E12">
            <v>2.8121154999999998E-2</v>
          </cell>
          <cell r="F12">
            <v>5.8799999999999996E-6</v>
          </cell>
          <cell r="K12">
            <v>1.38E-5</v>
          </cell>
          <cell r="L12">
            <v>5.6799999999999998E-6</v>
          </cell>
          <cell r="S12">
            <v>1.1157874837897154E-2</v>
          </cell>
          <cell r="T12">
            <v>2.2617724294085007E-4</v>
          </cell>
          <cell r="Y12">
            <v>78.122494003690306</v>
          </cell>
        </row>
        <row r="13">
          <cell r="C13">
            <v>2.0513536999999998E-2</v>
          </cell>
          <cell r="D13">
            <v>6.0599999999999996E-6</v>
          </cell>
          <cell r="E13">
            <v>1.9302264999999999E-2</v>
          </cell>
          <cell r="F13">
            <v>6.5899999999999996E-6</v>
          </cell>
          <cell r="K13">
            <v>1.6899999999999999E-6</v>
          </cell>
          <cell r="L13">
            <v>6.0599999999999996E-6</v>
          </cell>
          <cell r="S13">
            <v>3.4814613993744453E-3</v>
          </cell>
          <cell r="T13">
            <v>2.9219649928292191E-4</v>
          </cell>
          <cell r="Y13">
            <v>86.5324327743255</v>
          </cell>
        </row>
        <row r="14">
          <cell r="C14">
            <v>1.3634069E-2</v>
          </cell>
          <cell r="D14">
            <v>6.5100000000000004E-6</v>
          </cell>
          <cell r="E14">
            <v>1.2174172E-2</v>
          </cell>
          <cell r="F14">
            <v>6.7800000000000003E-6</v>
          </cell>
          <cell r="K14">
            <v>1.17E-5</v>
          </cell>
          <cell r="L14">
            <v>5.4999999999999999E-6</v>
          </cell>
          <cell r="S14">
            <v>4.1070561689215778E-4</v>
          </cell>
          <cell r="T14">
            <v>5.2241759475873712E-4</v>
          </cell>
          <cell r="Y14">
            <v>91.83668915014303</v>
          </cell>
        </row>
        <row r="15">
          <cell r="C15">
            <v>9.1854669999999992E-3</v>
          </cell>
          <cell r="D15">
            <v>4.51E-6</v>
          </cell>
          <cell r="E15">
            <v>7.6168720000000002E-3</v>
          </cell>
          <cell r="F15">
            <v>6.9600000000000003E-6</v>
          </cell>
          <cell r="K15">
            <v>6.8600000000000004E-6</v>
          </cell>
          <cell r="L15">
            <v>7.9899999999999997E-6</v>
          </cell>
          <cell r="S15">
            <v>1.4852768783439932E-2</v>
          </cell>
          <cell r="T15">
            <v>9.3487072023878547E-4</v>
          </cell>
          <cell r="Y15">
            <v>95.155323092889191</v>
          </cell>
        </row>
        <row r="16">
          <cell r="C16">
            <v>6.7565769999999997E-3</v>
          </cell>
          <cell r="D16">
            <v>5.8000000000000004E-6</v>
          </cell>
          <cell r="E16">
            <v>4.8703160000000004E-3</v>
          </cell>
          <cell r="F16">
            <v>4.6E-6</v>
          </cell>
          <cell r="K16">
            <v>1.27E-5</v>
          </cell>
          <cell r="L16">
            <v>7.25E-6</v>
          </cell>
          <cell r="S16">
            <v>2.2132015132615711E-2</v>
          </cell>
          <cell r="T16">
            <v>1.0309545634522182E-3</v>
          </cell>
          <cell r="Y16">
            <v>97.277290111645669</v>
          </cell>
        </row>
        <row r="17">
          <cell r="C17">
            <v>5.2071540000000003E-3</v>
          </cell>
          <cell r="D17">
            <v>6.5899999999999996E-6</v>
          </cell>
          <cell r="E17">
            <v>3.056759E-3</v>
          </cell>
          <cell r="F17">
            <v>5.6799999999999998E-6</v>
          </cell>
          <cell r="K17">
            <v>1.88E-6</v>
          </cell>
          <cell r="L17">
            <v>6.3600000000000001E-6</v>
          </cell>
          <cell r="S17">
            <v>2.4601243933110787E-3</v>
          </cell>
          <cell r="T17">
            <v>2.2213138302175548E-3</v>
          </cell>
          <cell r="Y17">
            <v>98.609111295538995</v>
          </cell>
        </row>
        <row r="18">
          <cell r="C18">
            <v>4.323955E-3</v>
          </cell>
          <cell r="D18">
            <v>7.43E-6</v>
          </cell>
          <cell r="E18">
            <v>1.9213959999999999E-3</v>
          </cell>
          <cell r="F18">
            <v>5.6400000000000002E-6</v>
          </cell>
          <cell r="K18">
            <v>7.4399999999999999E-6</v>
          </cell>
          <cell r="L18">
            <v>7.0899999999999999E-6</v>
          </cell>
          <cell r="S18">
            <v>1.514532485680902E-2</v>
          </cell>
          <cell r="T18">
            <v>3.9869553779828997E-3</v>
          </cell>
          <cell r="Y18">
            <v>99.446254085285659</v>
          </cell>
        </row>
        <row r="19">
          <cell r="C19">
            <v>4.1847209999999998E-3</v>
          </cell>
          <cell r="D19">
            <v>4.2899999999999996E-6</v>
          </cell>
          <cell r="E19">
            <v>1.270951E-3</v>
          </cell>
          <cell r="F19">
            <v>4.7600000000000002E-6</v>
          </cell>
          <cell r="K19">
            <v>4.6E-5</v>
          </cell>
          <cell r="L19">
            <v>5.9399999999999999E-6</v>
          </cell>
          <cell r="S19">
            <v>2.092937437693803E-2</v>
          </cell>
          <cell r="T19">
            <v>5.6262989514717383E-3</v>
          </cell>
          <cell r="Y19">
            <v>100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zoomScale="70" zoomScaleNormal="70" workbookViewId="0">
      <pane xSplit="2" topLeftCell="E1" activePane="topRight" state="frozen"/>
      <selection pane="topRight" activeCell="Z2" sqref="Z2:AE26"/>
    </sheetView>
  </sheetViews>
  <sheetFormatPr baseColWidth="8" defaultColWidth="7.75" defaultRowHeight="14.25"/>
  <cols>
    <col width="4.5" bestFit="1" customWidth="1" style="58" min="1" max="1"/>
    <col width="6.125" bestFit="1" customWidth="1" style="58" min="2" max="2"/>
    <col width="12.125" bestFit="1" customWidth="1" style="58" min="3" max="7"/>
    <col width="13.25" customWidth="1" style="58" min="8" max="8"/>
    <col width="12.125" bestFit="1" customWidth="1" style="58" min="9" max="12"/>
    <col width="13.125" bestFit="1" customWidth="1" style="58" min="13" max="13"/>
    <col width="15.375" bestFit="1" customWidth="1" style="58" min="14" max="14"/>
    <col width="13.125" bestFit="1" customWidth="1" style="58" min="15" max="15"/>
    <col width="13.25" bestFit="1" customWidth="1" style="58" min="16" max="16"/>
    <col width="7.625" bestFit="1" customWidth="1" style="58" min="17" max="17"/>
    <col width="7.75" bestFit="1" customWidth="1" style="58" min="18" max="18"/>
    <col width="9.125" bestFit="1" customWidth="1" style="58" min="19" max="19"/>
    <col width="8.25" bestFit="1" customWidth="1" style="58" min="20" max="20"/>
    <col width="10" bestFit="1" customWidth="1" style="58" min="21" max="22"/>
    <col width="8.875" bestFit="1" customWidth="1" style="58" min="23" max="23"/>
    <col width="9.5" bestFit="1" customWidth="1" style="58" min="24" max="24"/>
    <col width="8.875" bestFit="1" customWidth="1" style="58" min="25" max="25"/>
    <col width="8.5" bestFit="1" customWidth="1" style="58" min="26" max="27"/>
    <col width="11.625" bestFit="1" customWidth="1" style="58" min="28" max="28"/>
    <col width="17.75" bestFit="1" customWidth="1" style="58" min="29" max="30"/>
    <col width="7.75" customWidth="1" style="58" min="31" max="32"/>
    <col width="7.75" customWidth="1" style="58" min="33" max="16384"/>
  </cols>
  <sheetData>
    <row r="1">
      <c r="A1" s="23" t="inlineStr">
        <is>
          <t>Sample ID = 0621-01C #60 NO.65, Irradiation package = NTNU-2 V4, Mineral = Phengite, J = 0.0065285 ± 0.00000253, Mass = 59.7 mg, Irradiation coordinate = 32.02 mm</t>
        </is>
      </c>
      <c r="E1" s="25" t="n"/>
      <c r="F1" s="25" t="n"/>
      <c r="G1" s="25" t="n"/>
      <c r="H1" s="25" t="n"/>
      <c r="J1" s="25" t="n"/>
      <c r="K1" s="25" t="n"/>
      <c r="M1" s="24" t="n"/>
      <c r="N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15" customHeight="1" s="122" thickBot="1">
      <c r="A2" s="26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C2" s="27" t="n"/>
    </row>
    <row r="3" ht="17.25" customFormat="1" customHeight="1" s="36" thickBot="1">
      <c r="A3" s="28" t="inlineStr">
        <is>
          <t>Step</t>
        </is>
      </c>
      <c r="B3" s="29" t="inlineStr">
        <is>
          <t>*Temp</t>
        </is>
      </c>
      <c r="C3" s="30" t="inlineStr">
        <is>
          <t>40Ar</t>
        </is>
      </c>
      <c r="D3" s="31" t="inlineStr">
        <is>
          <t>s40</t>
        </is>
      </c>
      <c r="E3" s="30" t="inlineStr">
        <is>
          <t>39Ar</t>
        </is>
      </c>
      <c r="F3" s="31" t="inlineStr">
        <is>
          <t>s39</t>
        </is>
      </c>
      <c r="G3" s="30" t="inlineStr">
        <is>
          <t>38Ar</t>
        </is>
      </c>
      <c r="H3" s="31" t="inlineStr">
        <is>
          <t>s38</t>
        </is>
      </c>
      <c r="I3" s="30" t="inlineStr">
        <is>
          <t>37Ar</t>
        </is>
      </c>
      <c r="J3" s="31" t="inlineStr">
        <is>
          <t>s37</t>
        </is>
      </c>
      <c r="K3" s="30" t="inlineStr">
        <is>
          <t>36Ar</t>
        </is>
      </c>
      <c r="L3" s="31" t="inlineStr">
        <is>
          <t>s36</t>
        </is>
      </c>
      <c r="M3" s="32" t="inlineStr">
        <is>
          <t>40Ar*</t>
        </is>
      </c>
      <c r="N3" s="32" t="inlineStr">
        <is>
          <t>%40Ar*</t>
        </is>
      </c>
      <c r="O3" s="33" t="inlineStr">
        <is>
          <t>40Ar*/39ArK</t>
        </is>
      </c>
      <c r="P3" s="34" t="inlineStr">
        <is>
          <t>s</t>
        </is>
      </c>
      <c r="Q3" s="33" t="inlineStr">
        <is>
          <t>Age</t>
        </is>
      </c>
      <c r="R3" s="34" t="inlineStr">
        <is>
          <t>s</t>
        </is>
      </c>
      <c r="S3" s="33" t="inlineStr">
        <is>
          <t>Ca/K</t>
        </is>
      </c>
      <c r="T3" s="34" t="inlineStr">
        <is>
          <t>s</t>
        </is>
      </c>
      <c r="U3" s="33" t="inlineStr">
        <is>
          <t>Cl/K</t>
        </is>
      </c>
      <c r="V3" s="34" t="inlineStr">
        <is>
          <t>s</t>
        </is>
      </c>
      <c r="W3" s="33" t="inlineStr">
        <is>
          <t>%39Ar</t>
        </is>
      </c>
      <c r="X3" s="28" t="inlineStr">
        <is>
          <t>cum39ArK</t>
        </is>
      </c>
      <c r="Y3" s="35" t="inlineStr">
        <is>
          <t>cum39Arm</t>
        </is>
      </c>
    </row>
    <row r="4" ht="16.5" customHeight="1" s="122">
      <c r="A4" s="37" t="n"/>
      <c r="B4" s="38" t="inlineStr">
        <is>
          <t>(˚C)</t>
        </is>
      </c>
      <c r="C4" s="39" t="inlineStr">
        <is>
          <t>(volts)</t>
        </is>
      </c>
      <c r="D4" s="40" t="n"/>
      <c r="E4" s="41" t="inlineStr">
        <is>
          <t>(volts)</t>
        </is>
      </c>
      <c r="F4" s="40" t="n"/>
      <c r="G4" s="41" t="inlineStr">
        <is>
          <t>(volts)</t>
        </is>
      </c>
      <c r="H4" s="40" t="n"/>
      <c r="I4" s="41" t="inlineStr">
        <is>
          <t>(volts)</t>
        </is>
      </c>
      <c r="J4" s="40" t="n"/>
      <c r="K4" s="41" t="inlineStr">
        <is>
          <t>(volts)</t>
        </is>
      </c>
      <c r="L4" s="40" t="n"/>
      <c r="M4" s="40" t="inlineStr">
        <is>
          <t>(volts)</t>
        </is>
      </c>
      <c r="N4" s="42" t="inlineStr">
        <is>
          <t>(%total)</t>
        </is>
      </c>
      <c r="O4" s="43" t="n"/>
      <c r="P4" s="44" t="n"/>
      <c r="Q4" s="45" t="inlineStr">
        <is>
          <t>(Ma)</t>
        </is>
      </c>
      <c r="R4" s="46" t="inlineStr">
        <is>
          <t>(Ma)</t>
        </is>
      </c>
      <c r="S4" s="43" t="n"/>
      <c r="T4" s="47" t="n"/>
      <c r="U4" s="48" t="n"/>
      <c r="V4" s="49" t="n"/>
      <c r="W4" s="45" t="inlineStr">
        <is>
          <t>(%total)</t>
        </is>
      </c>
      <c r="X4" s="50" t="inlineStr">
        <is>
          <t>%</t>
        </is>
      </c>
      <c r="Y4" s="51" t="inlineStr">
        <is>
          <t>%</t>
        </is>
      </c>
    </row>
    <row r="5" ht="15" customHeight="1" s="122">
      <c r="A5" s="52" t="inlineStr">
        <is>
          <t>A</t>
        </is>
      </c>
      <c r="B5" s="53" t="n">
        <v>600</v>
      </c>
      <c r="C5" s="123">
        <f>'[1]raw data'!B$13</f>
        <v/>
      </c>
      <c r="D5" s="124">
        <f>'[1]raw data'!C$13</f>
        <v/>
      </c>
      <c r="E5" s="125">
        <f>'[1]raw data'!B$10</f>
        <v/>
      </c>
      <c r="F5" s="124">
        <f>'[1]raw data'!C$10</f>
        <v/>
      </c>
      <c r="G5" s="123">
        <f>'[1]raw data'!B$7</f>
        <v/>
      </c>
      <c r="H5" s="124">
        <f>'[1]raw data'!C$7</f>
        <v/>
      </c>
      <c r="I5" s="123">
        <f>'[1]raw data'!B$5</f>
        <v/>
      </c>
      <c r="J5" s="124">
        <f>'[1]raw data'!C$5</f>
        <v/>
      </c>
      <c r="K5" s="123">
        <f>'[1]raw data'!B$2</f>
        <v/>
      </c>
      <c r="L5" s="124">
        <f>'[1]raw data'!C$2</f>
        <v/>
      </c>
      <c r="M5" s="126">
        <f>'[1]raw data'!B14</f>
        <v/>
      </c>
      <c r="N5" s="127">
        <f>'[1]raw data'!B$14/SUM('[1]raw data'!B2,'[1]raw data'!B5,'[1]raw data'!B7,'[1]raw data'!B10,'[1]raw data'!B13)*100</f>
        <v/>
      </c>
      <c r="O5" s="125">
        <f>'[1]raw data'!B$20</f>
        <v/>
      </c>
      <c r="P5" s="128">
        <f>'[1]raw data'!C$20</f>
        <v/>
      </c>
      <c r="Q5" s="129">
        <f>'[1]raw data'!B$25/10^6</f>
        <v/>
      </c>
      <c r="R5" s="130">
        <f>'[1]raw data'!C$25/10^6</f>
        <v/>
      </c>
      <c r="S5" s="54">
        <f>'[1]raw data'!B$44</f>
        <v/>
      </c>
      <c r="T5" s="55">
        <f>'[1]raw data'!C$44</f>
        <v/>
      </c>
      <c r="U5" s="56">
        <f>'[1]raw data'!B$43</f>
        <v/>
      </c>
      <c r="V5" s="57">
        <f>'[1]raw data'!C$43</f>
        <v/>
      </c>
      <c r="W5" s="131">
        <f>'[1]raw data'!B$11/SUM('[1]raw data'!B2,'[1]raw data'!B5,'[1]raw data'!B7,'[1]raw data'!B10,'[1]raw data'!B13)*100</f>
        <v/>
      </c>
      <c r="X5" s="132">
        <f>'[1]raw data'!B$10/SUM('[1]raw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5" s="133">
        <f>'[1]raw data'!B$11/SUM('[1]raw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5" s="134" t="n"/>
      <c r="AB5" s="134" t="n"/>
    </row>
    <row r="6" ht="15" customHeight="1" s="122">
      <c r="A6" s="52" t="inlineStr">
        <is>
          <t>B</t>
        </is>
      </c>
      <c r="B6" s="53" t="n">
        <v>700</v>
      </c>
      <c r="C6" s="123">
        <f>'[1]raw data'!F$13</f>
        <v/>
      </c>
      <c r="D6" s="124">
        <f>'[1]raw data'!G$13</f>
        <v/>
      </c>
      <c r="E6" s="123">
        <f>'[1]raw data'!F$10</f>
        <v/>
      </c>
      <c r="F6" s="124">
        <f>'[1]raw data'!G$10</f>
        <v/>
      </c>
      <c r="G6" s="123">
        <f>'[1]raw data'!F$7</f>
        <v/>
      </c>
      <c r="H6" s="124">
        <f>'[1]raw data'!G$7</f>
        <v/>
      </c>
      <c r="I6" s="123">
        <f>'[1]raw data'!F$5</f>
        <v/>
      </c>
      <c r="J6" s="124">
        <f>'[1]raw data'!G$5</f>
        <v/>
      </c>
      <c r="K6" s="123">
        <f>'[1]raw data'!F$2</f>
        <v/>
      </c>
      <c r="L6" s="124">
        <f>'[1]raw data'!G$2</f>
        <v/>
      </c>
      <c r="M6" s="126">
        <f>'[1]raw data'!F14</f>
        <v/>
      </c>
      <c r="N6" s="135">
        <f>'[1]raw data'!F$14/SUM('[1]raw data'!F2,'[1]raw data'!F5,'[1]raw data'!F7,'[1]raw data'!F10,'[1]raw data'!F13)*100</f>
        <v/>
      </c>
      <c r="O6" s="136">
        <f>'[1]raw data'!F$20</f>
        <v/>
      </c>
      <c r="P6" s="124">
        <f>'[1]raw data'!G$20</f>
        <v/>
      </c>
      <c r="Q6" s="137">
        <f>'[1]raw data'!F$25/10^6</f>
        <v/>
      </c>
      <c r="R6" s="138">
        <f>'[1]raw data'!G$25/10^6</f>
        <v/>
      </c>
      <c r="S6" s="59">
        <f>'[1]raw data'!F$44</f>
        <v/>
      </c>
      <c r="T6" s="55">
        <f>'[1]raw data'!G$44</f>
        <v/>
      </c>
      <c r="U6" s="60">
        <f>'[1]raw data'!F$43</f>
        <v/>
      </c>
      <c r="V6" s="61">
        <f>'[1]raw data'!G$43</f>
        <v/>
      </c>
      <c r="W6" s="139">
        <f>'[1]raw data'!F$11/SUM('[1]raw data'!F2,'[1]raw data'!F5,'[1]raw data'!F7,'[1]raw data'!F10,'[1]raw data'!F13)*100</f>
        <v/>
      </c>
      <c r="X6" s="140">
        <f>SUM('[1]raw data'!B10,'[1]raw data'!F10)/SUM('[1]raw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6" s="141">
        <f>SUM('[1]raw data'!B11,'[1]raw data'!F11)/SUM('[1]raw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6" s="134" t="n"/>
      <c r="AB6" s="134" t="n"/>
    </row>
    <row r="7" ht="15" customHeight="1" s="122">
      <c r="A7" s="52" t="inlineStr">
        <is>
          <t>C</t>
        </is>
      </c>
      <c r="B7" s="53" t="n">
        <v>800</v>
      </c>
      <c r="C7" s="123">
        <f>'[1]raw data'!J$13</f>
        <v/>
      </c>
      <c r="D7" s="124">
        <f>'[1]raw data'!K$13</f>
        <v/>
      </c>
      <c r="E7" s="123">
        <f>'[1]raw data'!J$10</f>
        <v/>
      </c>
      <c r="F7" s="124">
        <f>'[1]raw data'!K$10</f>
        <v/>
      </c>
      <c r="G7" s="123">
        <f>'[1]raw data'!J$7</f>
        <v/>
      </c>
      <c r="H7" s="124">
        <f>'[1]raw data'!K$7</f>
        <v/>
      </c>
      <c r="I7" s="123">
        <f>'[1]raw data'!J$5</f>
        <v/>
      </c>
      <c r="J7" s="124">
        <f>'[1]raw data'!K$5</f>
        <v/>
      </c>
      <c r="K7" s="123">
        <f>'[1]raw data'!J$2</f>
        <v/>
      </c>
      <c r="L7" s="124">
        <f>'[1]raw data'!K$2</f>
        <v/>
      </c>
      <c r="M7" s="126">
        <f>'[1]raw data'!J$14</f>
        <v/>
      </c>
      <c r="N7" s="135">
        <f>'[1]raw data'!J$14/SUM('[1]raw data'!J2,'[1]raw data'!J5,'[1]raw data'!J7,'[1]raw data'!J10,'[1]raw data'!J13)*100</f>
        <v/>
      </c>
      <c r="O7" s="136">
        <f>'[1]raw data'!J$20</f>
        <v/>
      </c>
      <c r="P7" s="124">
        <f>'[1]raw data'!K$20</f>
        <v/>
      </c>
      <c r="Q7" s="137">
        <f>'[1]raw data'!J$25/10^6</f>
        <v/>
      </c>
      <c r="R7" s="138">
        <f>'[1]raw data'!K$25/10^6</f>
        <v/>
      </c>
      <c r="S7" s="59">
        <f>'[1]raw data'!J$44</f>
        <v/>
      </c>
      <c r="T7" s="62">
        <f>'[1]raw data'!K$44</f>
        <v/>
      </c>
      <c r="U7" s="63">
        <f>'[1]raw data'!J$43</f>
        <v/>
      </c>
      <c r="V7" s="61">
        <f>'[1]raw data'!K$43</f>
        <v/>
      </c>
      <c r="W7" s="142">
        <f>'[1]raw data'!J10/SUM('[1]raw data'!N2,'[1]raw data'!N5,'[1]raw data'!N7,'[1]raw data'!N10,'[1]raw data'!N13)*100</f>
        <v/>
      </c>
      <c r="X7" s="140">
        <f>SUM('[1]raw data'!B10,'[1]raw data'!F10,'[1]raw data'!J10)/SUM('[1]raw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7" s="141">
        <f>SUM('[1]raw data'!B11,'[1]raw data'!F11,'[1]raw data'!J11/SUM('[1]raw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data'!BF11)*100)</f>
        <v/>
      </c>
      <c r="AA7" s="134" t="n"/>
      <c r="AB7" s="134" t="n"/>
    </row>
    <row r="8" ht="15" customHeight="1" s="122">
      <c r="A8" s="52" t="inlineStr">
        <is>
          <t>D</t>
        </is>
      </c>
      <c r="B8" s="53" t="n">
        <v>850</v>
      </c>
      <c r="C8" s="123">
        <f>'[1]raw data'!N$13</f>
        <v/>
      </c>
      <c r="D8" s="124">
        <f>'[1]raw data'!O$13</f>
        <v/>
      </c>
      <c r="E8" s="123">
        <f>'[1]raw data'!N$10</f>
        <v/>
      </c>
      <c r="F8" s="124">
        <f>'[1]raw data'!O$10</f>
        <v/>
      </c>
      <c r="G8" s="123">
        <f>'[1]raw data'!N$7</f>
        <v/>
      </c>
      <c r="H8" s="124">
        <f>'[1]raw data'!O$7</f>
        <v/>
      </c>
      <c r="I8" s="123">
        <f>'[1]raw data'!N$5</f>
        <v/>
      </c>
      <c r="J8" s="124">
        <f>'[1]raw data'!O$5</f>
        <v/>
      </c>
      <c r="K8" s="123">
        <f>'[1]raw data'!N$2</f>
        <v/>
      </c>
      <c r="L8" s="124">
        <f>'[1]raw data'!O$2</f>
        <v/>
      </c>
      <c r="M8" s="126">
        <f>'[1]raw data'!N$14</f>
        <v/>
      </c>
      <c r="N8" s="135">
        <f>'[1]raw data'!N$14/SUM('[1]raw data'!N2,'[1]raw data'!N5,'[1]raw data'!N7,'[1]raw data'!N10,'[1]raw data'!N13)*100</f>
        <v/>
      </c>
      <c r="O8" s="136">
        <f>'[1]raw data'!N$20</f>
        <v/>
      </c>
      <c r="P8" s="124">
        <f>'[1]raw data'!O$20</f>
        <v/>
      </c>
      <c r="Q8" s="137">
        <f>'[1]raw data'!N$25/10^6</f>
        <v/>
      </c>
      <c r="R8" s="138">
        <f>'[1]raw data'!O$25/10^6</f>
        <v/>
      </c>
      <c r="S8" s="59">
        <f>'[1]raw data'!N$44</f>
        <v/>
      </c>
      <c r="T8" s="64">
        <f>'[1]raw data'!O$44</f>
        <v/>
      </c>
      <c r="U8" s="63">
        <f>'[1]raw data'!N$43</f>
        <v/>
      </c>
      <c r="V8" s="65">
        <f>'[1]raw data'!O$43</f>
        <v/>
      </c>
      <c r="W8" s="139">
        <f>'[1]raw data'!N$11/SUM('[1]raw data'!N2,'[1]raw data'!N5,'[1]raw data'!N7,'[1]raw data'!N10,'[1]raw data'!N13)*100</f>
        <v/>
      </c>
      <c r="X8" s="140">
        <f>SUM('[1]raw data'!B10,'[1]raw data'!F10,'[1]raw data'!J10,'[1]raw data'!N10)/SUM('[1]raw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8" s="141">
        <f>SUM('[1]raw data'!B11,'[1]raw data'!F11,'[1]raw data'!J11,'[1]raw data'!N11)/SUM('[1]raw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8" s="134" t="n"/>
      <c r="AB8" s="134" t="n"/>
    </row>
    <row r="9" ht="15" customHeight="1" s="122">
      <c r="A9" s="52" t="inlineStr">
        <is>
          <t>E</t>
        </is>
      </c>
      <c r="B9" s="53" t="n">
        <v>900</v>
      </c>
      <c r="C9" s="123">
        <f>'[1]raw data'!R$13</f>
        <v/>
      </c>
      <c r="D9" s="124">
        <f>'[1]raw data'!S$13</f>
        <v/>
      </c>
      <c r="E9" s="123">
        <f>'[1]raw data'!R$10</f>
        <v/>
      </c>
      <c r="F9" s="124">
        <f>'[1]raw data'!S$10</f>
        <v/>
      </c>
      <c r="G9" s="123">
        <f>'[1]raw data'!R$7</f>
        <v/>
      </c>
      <c r="H9" s="124">
        <f>'[1]raw data'!S$7</f>
        <v/>
      </c>
      <c r="I9" s="123">
        <f>'[1]raw data'!R$5</f>
        <v/>
      </c>
      <c r="J9" s="124">
        <f>'[1]raw data'!S$5</f>
        <v/>
      </c>
      <c r="K9" s="123">
        <f>'[1]raw data'!R$2</f>
        <v/>
      </c>
      <c r="L9" s="124">
        <f>'[1]raw data'!S$2</f>
        <v/>
      </c>
      <c r="M9" s="126">
        <f>'[1]raw data'!R$14</f>
        <v/>
      </c>
      <c r="N9" s="135">
        <f>'[1]raw data'!R$14/SUM('[1]raw data'!R2,'[1]raw data'!R5,'[1]raw data'!R7,'[1]raw data'!R10,'[1]raw data'!R13)*100</f>
        <v/>
      </c>
      <c r="O9" s="136">
        <f>'[1]raw data'!R$20</f>
        <v/>
      </c>
      <c r="P9" s="124">
        <f>'[1]raw data'!S$20</f>
        <v/>
      </c>
      <c r="Q9" s="137">
        <f>'[1]raw data'!R$25/10^6</f>
        <v/>
      </c>
      <c r="R9" s="138">
        <f>'[1]raw data'!S$25/10^6</f>
        <v/>
      </c>
      <c r="S9" s="59">
        <f>'[1]raw data'!R$44</f>
        <v/>
      </c>
      <c r="T9" s="62">
        <f>'[1]raw data'!S$44</f>
        <v/>
      </c>
      <c r="U9" s="63">
        <f>'[1]raw data'!R$43</f>
        <v/>
      </c>
      <c r="V9" s="66">
        <f>'[1]raw data'!S$43</f>
        <v/>
      </c>
      <c r="W9" s="139">
        <f>'[1]raw data'!R$11/SUM('[1]raw data'!R2,'[1]raw data'!R5,'[1]raw data'!R7,'[1]raw data'!R10,'[1]raw data'!R13)*100</f>
        <v/>
      </c>
      <c r="X9" s="140">
        <f>SUM('[1]raw data'!B10,'[1]raw data'!F10,'[1]raw data'!J10,'[1]raw data'!N10,'[1]raw data'!R10)/SUM('[1]raw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9" s="143">
        <f>SUM('[1]raw data'!B11,'[1]raw data'!F11,'[1]raw data'!J11,'[1]raw data'!N11,'[1]raw data'!R11)/SUM('[1]raw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9" s="134" t="n"/>
      <c r="AB9" s="134" t="n"/>
    </row>
    <row r="10" ht="15" customHeight="1" s="122">
      <c r="A10" s="52" t="inlineStr">
        <is>
          <t>F</t>
        </is>
      </c>
      <c r="B10" s="53" t="n">
        <v>950</v>
      </c>
      <c r="C10" s="123">
        <f>'[1]raw data'!V$13</f>
        <v/>
      </c>
      <c r="D10" s="124">
        <f>'[1]raw data'!W$13</f>
        <v/>
      </c>
      <c r="E10" s="123">
        <f>'[1]raw data'!V$10</f>
        <v/>
      </c>
      <c r="F10" s="124">
        <f>'[1]raw data'!W$10</f>
        <v/>
      </c>
      <c r="G10" s="123">
        <f>'[1]raw data'!V$7</f>
        <v/>
      </c>
      <c r="H10" s="124">
        <f>'[1]raw data'!W$7</f>
        <v/>
      </c>
      <c r="I10" s="123">
        <f>'[1]raw data'!V$5</f>
        <v/>
      </c>
      <c r="J10" s="124">
        <f>'[1]raw data'!W$5</f>
        <v/>
      </c>
      <c r="K10" s="123">
        <f>'[1]raw data'!V$2</f>
        <v/>
      </c>
      <c r="L10" s="124">
        <f>'[1]raw data'!W$2</f>
        <v/>
      </c>
      <c r="M10" s="126">
        <f>'[1]raw data'!V$14</f>
        <v/>
      </c>
      <c r="N10" s="135">
        <f>'[1]raw data'!V$14/SUM('[1]raw data'!V2,'[1]raw data'!V5,'[1]raw data'!V7,'[1]raw data'!V10,'[1]raw data'!V13)*100</f>
        <v/>
      </c>
      <c r="O10" s="136">
        <f>'[1]raw data'!V$20</f>
        <v/>
      </c>
      <c r="P10" s="124">
        <f>'[1]raw data'!W$20</f>
        <v/>
      </c>
      <c r="Q10" s="137">
        <f>'[1]raw data'!V$25/10^6</f>
        <v/>
      </c>
      <c r="R10" s="138">
        <f>'[1]raw data'!W$25/10^6</f>
        <v/>
      </c>
      <c r="S10" s="59">
        <f>'[1]raw data'!V$44</f>
        <v/>
      </c>
      <c r="T10" s="64">
        <f>'[1]raw data'!W$44</f>
        <v/>
      </c>
      <c r="U10" s="63">
        <f>'[1]raw data'!V$43</f>
        <v/>
      </c>
      <c r="V10" s="61">
        <f>'[1]raw data'!W$43</f>
        <v/>
      </c>
      <c r="W10" s="139">
        <f>'[1]raw data'!V$11/SUM('[1]raw data'!V2,'[1]raw data'!V5,'[1]raw data'!V7,'[1]raw data'!V10,'[1]raw data'!V13)*100</f>
        <v/>
      </c>
      <c r="X10" s="140">
        <f>SUM('[1]raw data'!V10,'[1]raw data'!R10,'[1]raw data'!N10,'[1]raw data'!J10,'[1]raw data'!F10,'[1]raw data'!B10)/SUM('[1]raw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0" s="141">
        <f>SUM('[1]raw data'!V11,'[1]raw data'!R11,'[1]raw data'!N11,'[1]raw data'!J11,'[1]raw data'!F11,'[1]raw data'!B11)/SUM('[1]raw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0" s="134" t="n"/>
      <c r="AB10" s="134" t="n"/>
    </row>
    <row r="11" ht="15" customHeight="1" s="122">
      <c r="A11" s="52" t="inlineStr">
        <is>
          <t>G</t>
        </is>
      </c>
      <c r="B11" s="53" t="n">
        <v>1000</v>
      </c>
      <c r="C11" s="123">
        <f>'[1]raw data'!Z$13</f>
        <v/>
      </c>
      <c r="D11" s="124">
        <f>'[1]raw data'!AA$13</f>
        <v/>
      </c>
      <c r="E11" s="123">
        <f>'[1]raw data'!Z$10</f>
        <v/>
      </c>
      <c r="F11" s="124">
        <f>'[1]raw data'!AA$10</f>
        <v/>
      </c>
      <c r="G11" s="123">
        <f>'[1]raw data'!Z$7</f>
        <v/>
      </c>
      <c r="H11" s="124">
        <f>'[1]raw data'!AA$7</f>
        <v/>
      </c>
      <c r="I11" s="123">
        <f>'[1]raw data'!Z$5</f>
        <v/>
      </c>
      <c r="J11" s="124">
        <f>'[1]raw data'!AA$5</f>
        <v/>
      </c>
      <c r="K11" s="123">
        <f>'[1]raw data'!Z$2</f>
        <v/>
      </c>
      <c r="L11" s="124">
        <f>'[1]raw data'!AA$2</f>
        <v/>
      </c>
      <c r="M11" s="126">
        <f>'[1]raw data'!Z$14</f>
        <v/>
      </c>
      <c r="N11" s="135">
        <f>'[1]raw data'!Z$14/SUM('[1]raw data'!Z2,'[1]raw data'!Z5,'[1]raw data'!Z7,'[1]raw data'!Z10,'[1]raw data'!Z13)*100</f>
        <v/>
      </c>
      <c r="O11" s="136">
        <f>'[1]raw data'!Z$20</f>
        <v/>
      </c>
      <c r="P11" s="124">
        <f>'[1]raw data'!AA$20</f>
        <v/>
      </c>
      <c r="Q11" s="137">
        <f>'[1]raw data'!Z$25/10^6</f>
        <v/>
      </c>
      <c r="R11" s="138">
        <f>'[1]raw data'!AA$25/10^6</f>
        <v/>
      </c>
      <c r="S11" s="59">
        <f>'[1]raw data'!Z$44</f>
        <v/>
      </c>
      <c r="T11" s="62">
        <f>'[1]raw data'!AA$44</f>
        <v/>
      </c>
      <c r="U11" s="63">
        <f>'[1]raw data'!Z$43</f>
        <v/>
      </c>
      <c r="V11" s="65">
        <f>'[1]raw data'!AA$43</f>
        <v/>
      </c>
      <c r="W11" s="139">
        <f>'[1]raw data'!Z$11/SUM('[1]raw data'!Z2,'[1]raw data'!Z5,'[1]raw data'!Z7,'[1]raw data'!Z10,'[1]raw data'!Z13)*100</f>
        <v/>
      </c>
      <c r="X11" s="140">
        <f>SUM('[1]raw data'!Z10,'[1]raw data'!V10,'[1]raw data'!R10,'[1]raw data'!N10,'[1]raw data'!J10,'[1]raw data'!F10,'[1]raw data'!B10)/SUM('[1]raw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1" s="141">
        <f>SUM('[1]raw data'!Z11,'[1]raw data'!V11,'[1]raw data'!R11,'[1]raw data'!N11,'[1]raw data'!J11,'[1]raw data'!F11,'[1]raw data'!B11)/SUM('[1]raw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1" s="134" t="n"/>
      <c r="AB11" s="134" t="n"/>
    </row>
    <row r="12" ht="15" customHeight="1" s="122">
      <c r="A12" s="52" t="inlineStr">
        <is>
          <t>H</t>
        </is>
      </c>
      <c r="B12" s="53" t="n">
        <v>1050</v>
      </c>
      <c r="C12" s="123">
        <f>'[1]raw data'!AD$13</f>
        <v/>
      </c>
      <c r="D12" s="124">
        <f>'[1]raw data'!AE$13</f>
        <v/>
      </c>
      <c r="E12" s="123">
        <f>'[1]raw data'!AD$10</f>
        <v/>
      </c>
      <c r="F12" s="124">
        <f>'[1]raw data'!AE$10</f>
        <v/>
      </c>
      <c r="G12" s="123">
        <f>'[1]raw data'!AD$7</f>
        <v/>
      </c>
      <c r="H12" s="124">
        <f>'[1]raw data'!AE$7</f>
        <v/>
      </c>
      <c r="I12" s="123">
        <f>'[1]raw data'!AD$5</f>
        <v/>
      </c>
      <c r="J12" s="124">
        <f>'[1]raw data'!AE$5</f>
        <v/>
      </c>
      <c r="K12" s="123">
        <f>'[1]raw data'!AD$2</f>
        <v/>
      </c>
      <c r="L12" s="124">
        <f>'[1]raw data'!AE$2</f>
        <v/>
      </c>
      <c r="M12" s="126">
        <f>'[1]raw data'!AD$14</f>
        <v/>
      </c>
      <c r="N12" s="135">
        <f>'[1]raw data'!AD$14/SUM('[1]raw data'!AD2,'[1]raw data'!AD5,'[1]raw data'!AD7,'[1]raw data'!AD10,'[1]raw data'!AD13)*100</f>
        <v/>
      </c>
      <c r="O12" s="136">
        <f>'[1]raw data'!AD$20</f>
        <v/>
      </c>
      <c r="P12" s="124">
        <f>'[1]raw data'!AE$20</f>
        <v/>
      </c>
      <c r="Q12" s="137">
        <f>'[1]raw data'!AD$25/10^6</f>
        <v/>
      </c>
      <c r="R12" s="138">
        <f>'[1]raw data'!AE$25/10^6</f>
        <v/>
      </c>
      <c r="S12" s="59">
        <f>'[1]raw data'!AD$44</f>
        <v/>
      </c>
      <c r="T12" s="64">
        <f>'[1]raw data'!AE$44</f>
        <v/>
      </c>
      <c r="U12" s="56">
        <f>'[1]raw data'!AD$43</f>
        <v/>
      </c>
      <c r="V12" s="66">
        <f>'[1]raw data'!AE$43</f>
        <v/>
      </c>
      <c r="W12" s="139">
        <f>'[1]raw data'!AD$11/SUM('[1]raw data'!AD2,'[1]raw data'!AD5,'[1]raw data'!AD7,'[1]raw data'!AD10,'[1]raw data'!AD13)*100</f>
        <v/>
      </c>
      <c r="X12" s="140">
        <f>SUM('[1]raw data'!AD10,'[1]raw data'!Z10,'[1]raw data'!V10,'[1]raw data'!R10,'[1]raw data'!N10,'[1]raw data'!J10,'[1]raw data'!F10,'[1]raw data'!B10)/SUM('[1]raw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2" s="143">
        <f>SUM('[1]raw data'!AD11,'[1]raw data'!Z11,'[1]raw data'!V11,'[1]raw data'!R11,'[1]raw data'!N11,'[1]raw data'!J11,'[1]raw data'!F11,'[1]raw data'!B11)/SUM('[1]raw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2" s="134" t="n"/>
      <c r="AB12" s="134" t="n"/>
    </row>
    <row r="13" ht="15" customHeight="1" s="122">
      <c r="A13" s="52" t="inlineStr">
        <is>
          <t>I</t>
        </is>
      </c>
      <c r="B13" s="53" t="n">
        <v>1100</v>
      </c>
      <c r="C13" s="123">
        <f>'[1]raw data'!AH$13</f>
        <v/>
      </c>
      <c r="D13" s="124">
        <f>'[1]raw data'!AI$13</f>
        <v/>
      </c>
      <c r="E13" s="123">
        <f>'[1]raw data'!AH$10</f>
        <v/>
      </c>
      <c r="F13" s="124">
        <f>'[1]raw data'!AI$10</f>
        <v/>
      </c>
      <c r="G13" s="123">
        <f>'[1]raw data'!AH$7</f>
        <v/>
      </c>
      <c r="H13" s="124">
        <f>'[1]raw data'!AI$7</f>
        <v/>
      </c>
      <c r="I13" s="123">
        <f>'[1]raw data'!AH$5</f>
        <v/>
      </c>
      <c r="J13" s="124">
        <f>'[1]raw data'!AI$5</f>
        <v/>
      </c>
      <c r="K13" s="123">
        <f>'[1]raw data'!AH$2</f>
        <v/>
      </c>
      <c r="L13" s="124">
        <f>'[1]raw data'!AI$2</f>
        <v/>
      </c>
      <c r="M13" s="126">
        <f>'[1]raw data'!AH$14</f>
        <v/>
      </c>
      <c r="N13" s="135">
        <f>'[1]raw data'!AH$14/SUM('[1]raw data'!AH2,'[1]raw data'!AH5,'[1]raw data'!AH7,'[1]raw data'!AH10,'[1]raw data'!AH13)*100</f>
        <v/>
      </c>
      <c r="O13" s="136">
        <f>'[1]raw data'!AH$20</f>
        <v/>
      </c>
      <c r="P13" s="124">
        <f>'[1]raw data'!AI$20</f>
        <v/>
      </c>
      <c r="Q13" s="137">
        <f>'[1]raw data'!AH$25/10^6</f>
        <v/>
      </c>
      <c r="R13" s="138">
        <f>'[1]raw data'!AI$25/10^6</f>
        <v/>
      </c>
      <c r="S13" s="59">
        <f>'[1]raw data'!AH$44</f>
        <v/>
      </c>
      <c r="T13" s="62">
        <f>'[1]raw data'!AI$44</f>
        <v/>
      </c>
      <c r="U13" s="67">
        <f>'[1]raw data'!AH$43</f>
        <v/>
      </c>
      <c r="V13" s="68">
        <f>'[1]raw data'!AI$43</f>
        <v/>
      </c>
      <c r="W13" s="139">
        <f>'[1]raw data'!AH$11/SUM('[1]raw data'!AH2,'[1]raw data'!AH5,'[1]raw data'!AH7,'[1]raw data'!AH10,'[1]raw data'!AH13)*100</f>
        <v/>
      </c>
      <c r="X13" s="140">
        <f>SUM('[1]raw data'!B10,'[1]raw data'!F10,'[1]raw data'!J10,'[1]raw data'!N10,'[1]raw data'!R10,'[1]raw data'!V10,'[1]raw data'!Z10,'[1]raw data'!AD10,'[1]raw data'!AH10)/SUM('[1]raw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3" s="141">
        <f>SUM('[1]raw data'!B11,'[1]raw data'!F11,'[1]raw data'!J11,'[1]raw data'!N11,'[1]raw data'!R11,'[1]raw data'!V11,'[1]raw data'!Z11,'[1]raw data'!AD11,'[1]raw data'!AH11)/SUM('[1]raw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3" s="134" t="n"/>
      <c r="AB13" s="134" t="n"/>
    </row>
    <row r="14" ht="15" customHeight="1" s="122">
      <c r="A14" s="52" t="inlineStr">
        <is>
          <t>J</t>
        </is>
      </c>
      <c r="B14" s="53" t="n">
        <v>1150</v>
      </c>
      <c r="C14" s="123">
        <f>'[1]raw data'!AL$13</f>
        <v/>
      </c>
      <c r="D14" s="124">
        <f>'[1]raw data'!AM$13</f>
        <v/>
      </c>
      <c r="E14" s="123">
        <f>'[1]raw data'!AL$10</f>
        <v/>
      </c>
      <c r="F14" s="124">
        <f>'[1]raw data'!AM$10</f>
        <v/>
      </c>
      <c r="G14" s="123">
        <f>'[1]raw data'!AL$7</f>
        <v/>
      </c>
      <c r="H14" s="124">
        <f>'[1]raw data'!AM$7</f>
        <v/>
      </c>
      <c r="I14" s="123">
        <f>'[1]raw data'!AL$5</f>
        <v/>
      </c>
      <c r="J14" s="124">
        <f>'[1]raw data'!AM$5</f>
        <v/>
      </c>
      <c r="K14" s="123">
        <f>'[1]raw data'!AL$2</f>
        <v/>
      </c>
      <c r="L14" s="124">
        <f>'[1]raw data'!AM$2</f>
        <v/>
      </c>
      <c r="M14" s="126">
        <f>'[1]raw data'!AL$14</f>
        <v/>
      </c>
      <c r="N14" s="135">
        <f>'[1]raw data'!AL$14/SUM('[1]raw data'!AL2,'[1]raw data'!AL5,'[1]raw data'!AL7,'[1]raw data'!AL10,'[1]raw data'!AL13)*100</f>
        <v/>
      </c>
      <c r="O14" s="136">
        <f>'[1]raw data'!AL$20</f>
        <v/>
      </c>
      <c r="P14" s="124">
        <f>'[1]raw data'!AM$20</f>
        <v/>
      </c>
      <c r="Q14" s="137">
        <f>'[1]raw data'!AL$25/10^6</f>
        <v/>
      </c>
      <c r="R14" s="138">
        <f>'[1]raw data'!AM$25/10^6</f>
        <v/>
      </c>
      <c r="S14" s="59">
        <f>'[1]raw data'!AL$44</f>
        <v/>
      </c>
      <c r="T14" s="64">
        <f>'[1]raw data'!AM$44</f>
        <v/>
      </c>
      <c r="U14" s="63">
        <f>'[1]raw data'!AL$43</f>
        <v/>
      </c>
      <c r="V14" s="61">
        <f>'[1]raw data'!AM$43</f>
        <v/>
      </c>
      <c r="W14" s="139">
        <f>'[1]raw data'!AL$11/SUM('[1]raw data'!AL2,'[1]raw data'!AL5,'[1]raw data'!AL7,'[1]raw data'!AL10,'[1]raw data'!AL13)*100</f>
        <v/>
      </c>
      <c r="X14" s="140">
        <f>SUM('[1]raw data'!AL11,'[1]raw data'!AH11,'[1]raw data'!AD11,'[1]raw data'!Z11,'[1]raw data'!V11,'[1]raw data'!R11,'[1]raw data'!N11,'[1]raw data'!J11,'[1]raw data'!F11,'[1]raw data'!B11)/SUM('[1]raw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4" s="141">
        <f>SUM('[1]raw data'!AL11,'[1]raw data'!AH11,'[1]raw data'!AD11,'[1]raw data'!Z11,'[1]raw data'!V11,'[1]raw data'!R11,'[1]raw data'!N11,'[1]raw data'!J11,'[1]raw data'!F11,'[1]raw data'!B11)/SUM('[1]raw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4" s="134" t="n"/>
      <c r="AB14" s="134" t="n"/>
    </row>
    <row r="15" ht="15" customHeight="1" s="122">
      <c r="A15" s="52" t="inlineStr">
        <is>
          <t>K</t>
        </is>
      </c>
      <c r="B15" s="53" t="n">
        <v>1200</v>
      </c>
      <c r="C15" s="123">
        <f>'[1]raw data'!AP$13</f>
        <v/>
      </c>
      <c r="D15" s="124">
        <f>'[1]raw data'!AQ$13</f>
        <v/>
      </c>
      <c r="E15" s="123">
        <f>'[1]raw data'!AP$10</f>
        <v/>
      </c>
      <c r="F15" s="124">
        <f>'[1]raw data'!AQ$10</f>
        <v/>
      </c>
      <c r="G15" s="123">
        <f>'[1]raw data'!AP$7</f>
        <v/>
      </c>
      <c r="H15" s="124">
        <f>'[1]raw data'!AQ$7</f>
        <v/>
      </c>
      <c r="I15" s="123">
        <f>'[1]raw data'!AP$5</f>
        <v/>
      </c>
      <c r="J15" s="124">
        <f>'[1]raw data'!AQ$5</f>
        <v/>
      </c>
      <c r="K15" s="123">
        <f>'[1]raw data'!AP$2</f>
        <v/>
      </c>
      <c r="L15" s="124">
        <f>'[1]raw data'!AQ$2</f>
        <v/>
      </c>
      <c r="M15" s="126">
        <f>'[1]raw data'!AP$14</f>
        <v/>
      </c>
      <c r="N15" s="135">
        <f>'[1]raw data'!AP$14/SUM('[1]raw data'!AP2,'[1]raw data'!AP5,'[1]raw data'!AP7,'[1]raw data'!AP10,'[1]raw data'!AP13)*100</f>
        <v/>
      </c>
      <c r="O15" s="136">
        <f>'[1]raw data'!AP$20</f>
        <v/>
      </c>
      <c r="P15" s="124">
        <f>'[1]raw data'!AQ$20</f>
        <v/>
      </c>
      <c r="Q15" s="137">
        <f>'[1]raw data'!AP$25/10^6</f>
        <v/>
      </c>
      <c r="R15" s="138">
        <f>'[1]raw data'!AQ$25/10^6</f>
        <v/>
      </c>
      <c r="S15" s="59">
        <f>'[1]raw data'!AP$44</f>
        <v/>
      </c>
      <c r="T15" s="69">
        <f>'[1]raw data'!AQ$44</f>
        <v/>
      </c>
      <c r="U15" s="56">
        <f>'[1]raw data'!AP$43</f>
        <v/>
      </c>
      <c r="V15" s="65">
        <f>'[1]raw data'!AQ$43</f>
        <v/>
      </c>
      <c r="W15" s="144">
        <f>'[1]raw data'!AP$11/SUM('[1]raw data'!AP2,'[1]raw data'!AP5,'[1]raw data'!AP7,'[1]raw data'!AP10,'[1]raw data'!AP13)*100</f>
        <v/>
      </c>
      <c r="X15" s="140">
        <f>SUM('[1]raw data'!AP$11,'[1]raw data'!AL10,'[1]raw data'!AH10,'[1]raw data'!AD10,'[1]raw data'!Z10,'[1]raw data'!V10,'[1]raw data'!R10,'[1]raw data'!N10,'[1]raw data'!J10,'[1]raw data'!F10,'[1]raw data'!B10)/SUM('[1]raw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5" s="143">
        <f>SUM('[1]raw data'!B11,'[1]raw data'!F11,'[1]raw data'!J11,'[1]raw data'!N11,'[1]raw data'!R11,'[1]raw data'!V11,'[1]raw data'!Z11,'[1]raw data'!AD11,'[1]raw data'!AH11,'[1]raw data'!AL11,'[1]raw data'!AP11)/SUM('[1]raw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5" s="134" t="n"/>
      <c r="AB15" s="134" t="n"/>
    </row>
    <row r="16" ht="15" customHeight="1" s="122">
      <c r="A16" s="52" t="inlineStr">
        <is>
          <t>L</t>
        </is>
      </c>
      <c r="B16" s="53" t="n">
        <v>1250</v>
      </c>
      <c r="C16" s="123">
        <f>'[1]raw data'!AT$13</f>
        <v/>
      </c>
      <c r="D16" s="124">
        <f>'[1]raw data'!AU$13</f>
        <v/>
      </c>
      <c r="E16" s="123">
        <f>'[1]raw data'!AT$10</f>
        <v/>
      </c>
      <c r="F16" s="124">
        <f>'[1]raw data'!AU$10</f>
        <v/>
      </c>
      <c r="G16" s="123">
        <f>'[1]raw data'!AT$7</f>
        <v/>
      </c>
      <c r="H16" s="124">
        <f>'[1]raw data'!AU$7</f>
        <v/>
      </c>
      <c r="I16" s="123">
        <f>'[1]raw data'!AT$5</f>
        <v/>
      </c>
      <c r="J16" s="124">
        <f>'[1]raw data'!AU$5</f>
        <v/>
      </c>
      <c r="K16" s="123">
        <f>'[1]raw data'!AT$2</f>
        <v/>
      </c>
      <c r="L16" s="124">
        <f>'[1]raw data'!AU$2</f>
        <v/>
      </c>
      <c r="M16" s="126">
        <f>'[1]raw data'!AT$14</f>
        <v/>
      </c>
      <c r="N16" s="135">
        <f>'[1]raw data'!AT$14/SUM('[1]raw data'!AT2,'[1]raw data'!AT5,'[1]raw data'!AT7,'[1]raw data'!AT10,'[1]raw data'!AT13)*100</f>
        <v/>
      </c>
      <c r="O16" s="136">
        <f>'[1]raw data'!AT$20</f>
        <v/>
      </c>
      <c r="P16" s="124">
        <f>'[1]raw data'!AU$20</f>
        <v/>
      </c>
      <c r="Q16" s="137">
        <f>'[1]raw data'!AT$25/10^6</f>
        <v/>
      </c>
      <c r="R16" s="138">
        <f>'[1]raw data'!AU$25/10^6</f>
        <v/>
      </c>
      <c r="S16" s="59">
        <f>'[1]raw data'!AT$44</f>
        <v/>
      </c>
      <c r="T16" s="55">
        <f>'[1]raw data'!AU$44</f>
        <v/>
      </c>
      <c r="U16" s="63">
        <f>'[1]raw data'!AT$43</f>
        <v/>
      </c>
      <c r="V16" s="61">
        <f>'[1]raw data'!AU$43</f>
        <v/>
      </c>
      <c r="W16" s="139">
        <f>'[1]raw data'!AT$11/SUM('[1]raw data'!AT2,'[1]raw data'!AT5,'[1]raw data'!AT7,'[1]raw data'!AT10,'[1]raw data'!AT13)*100</f>
        <v/>
      </c>
      <c r="X16" s="140">
        <f>SUM('[1]raw data'!B10,'[1]raw data'!F10,'[1]raw data'!J10,'[1]raw data'!N10,'[1]raw data'!R10,'[1]raw data'!V10,'[1]raw data'!Z10,'[1]raw data'!AD10,'[1]raw data'!AH10,'[1]raw data'!AL10,'[1]raw data'!AP10,'[1]raw data'!AT10)/SUM('[1]raw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6" s="141">
        <f>SUM('[1]raw data'!B11,'[1]raw data'!F11,'[1]raw data'!J11,'[1]raw data'!N11,'[1]raw data'!R11,'[1]raw data'!V11,'[1]raw data'!Z11,'[1]raw data'!AD11,'[1]raw data'!AH11,'[1]raw data'!AL11,'[1]raw data'!AP11,'[1]raw data'!AT11)/SUM('[1]raw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6" s="134" t="n"/>
      <c r="AB16" s="134" t="n"/>
    </row>
    <row r="17" ht="15" customHeight="1" s="122">
      <c r="A17" s="52" t="inlineStr">
        <is>
          <t>M</t>
        </is>
      </c>
      <c r="B17" s="53" t="n">
        <v>1300</v>
      </c>
      <c r="C17" s="123">
        <f>'[1]raw data'!AX$13</f>
        <v/>
      </c>
      <c r="D17" s="124">
        <f>'[1]raw data'!AY$13</f>
        <v/>
      </c>
      <c r="E17" s="123">
        <f>'[1]raw data'!AX$10</f>
        <v/>
      </c>
      <c r="F17" s="124">
        <f>'[1]raw data'!AY$10</f>
        <v/>
      </c>
      <c r="G17" s="123">
        <f>'[1]raw data'!AX$7</f>
        <v/>
      </c>
      <c r="H17" s="124">
        <f>'[1]raw data'!AY$7</f>
        <v/>
      </c>
      <c r="I17" s="123">
        <f>'[1]raw data'!AX$5</f>
        <v/>
      </c>
      <c r="J17" s="124">
        <f>'[1]raw data'!AY$5</f>
        <v/>
      </c>
      <c r="K17" s="123">
        <f>'[1]raw data'!AX$2</f>
        <v/>
      </c>
      <c r="L17" s="124">
        <f>'[1]raw data'!AY$2</f>
        <v/>
      </c>
      <c r="M17" s="126">
        <f>'[1]raw data'!AX$14</f>
        <v/>
      </c>
      <c r="N17" s="135">
        <f>'[1]raw data'!AX$14/SUM('[1]raw data'!AX2,'[1]raw data'!AX5,'[1]raw data'!AX7,'[1]raw data'!AX10,'[1]raw data'!AX13)*100</f>
        <v/>
      </c>
      <c r="O17" s="136">
        <f>'[1]raw data'!AX$20</f>
        <v/>
      </c>
      <c r="P17" s="124">
        <f>'[1]raw data'!AY$20</f>
        <v/>
      </c>
      <c r="Q17" s="137">
        <f>'[1]raw data'!AX$25/10^6</f>
        <v/>
      </c>
      <c r="R17" s="138">
        <f>'[1]raw data'!AY$25/10^6</f>
        <v/>
      </c>
      <c r="S17" s="70">
        <f>'[1]raw data'!AX$44</f>
        <v/>
      </c>
      <c r="T17" s="62">
        <f>'[1]raw data'!AY$44</f>
        <v/>
      </c>
      <c r="U17" s="63">
        <f>'[1]raw data'!AX$43</f>
        <v/>
      </c>
      <c r="V17" s="61">
        <f>'[1]raw data'!AY$43</f>
        <v/>
      </c>
      <c r="W17" s="139">
        <f>'[1]raw data'!AX$11/SUM('[1]raw data'!AX2,'[1]raw data'!AX5,'[1]raw data'!AX7,'[1]raw data'!AX10,'[1]raw data'!AX13)*100</f>
        <v/>
      </c>
      <c r="X17" s="140">
        <f>SUM('[1]raw data'!B10,'[1]raw data'!F10,'[1]raw data'!J10,'[1]raw data'!N10,'[1]raw data'!R10,'[1]raw data'!V10,'[1]raw data'!Z10,'[1]raw data'!AD10,'[1]raw data'!AH10,'[1]raw data'!AL10,'[1]raw data'!AP10,'[1]raw data'!AT10,'[1]raw data'!AX10)/SUM('[1]raw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7" s="141">
        <f>SUM('[1]raw data'!B11,'[1]raw data'!F11,'[1]raw data'!J11,'[1]raw data'!N11,'[1]raw data'!R11,'[1]raw data'!V11,'[1]raw data'!Z11,'[1]raw data'!AD11,'[1]raw data'!AH11,'[1]raw data'!AL11,'[1]raw data'!AP11,'[1]raw data'!AT11,'[1]raw data'!AX11)/SUM('[1]raw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7" s="134" t="n"/>
      <c r="AB17" s="134" t="n"/>
    </row>
    <row r="18" ht="15" customHeight="1" s="122">
      <c r="A18" s="52" t="inlineStr">
        <is>
          <t>N</t>
        </is>
      </c>
      <c r="B18" s="53" t="n">
        <v>1400</v>
      </c>
      <c r="C18" s="123">
        <f>'[1]raw data'!BB$13</f>
        <v/>
      </c>
      <c r="D18" s="124">
        <f>'[1]raw data'!BC$13</f>
        <v/>
      </c>
      <c r="E18" s="123">
        <f>'[1]raw data'!BB$10</f>
        <v/>
      </c>
      <c r="F18" s="124">
        <f>'[1]raw data'!BC$10</f>
        <v/>
      </c>
      <c r="G18" s="123">
        <f>'[1]raw data'!BB$7</f>
        <v/>
      </c>
      <c r="H18" s="124">
        <f>'[1]raw data'!BC$7</f>
        <v/>
      </c>
      <c r="I18" s="123">
        <f>'[1]raw data'!BB$5</f>
        <v/>
      </c>
      <c r="J18" s="124">
        <f>'[1]raw data'!BC$5</f>
        <v/>
      </c>
      <c r="K18" s="123">
        <f>'[1]raw data'!BB$2</f>
        <v/>
      </c>
      <c r="L18" s="124">
        <f>'[1]raw data'!BC$2</f>
        <v/>
      </c>
      <c r="M18" s="126">
        <f>'[1]raw data'!BB$14</f>
        <v/>
      </c>
      <c r="N18" s="135">
        <f>'[1]raw data'!BB$14/SUM('[1]raw data'!BB2,'[1]raw data'!BB5,'[1]raw data'!BB7,'[1]raw data'!BB10,'[1]raw data'!BB13)*100</f>
        <v/>
      </c>
      <c r="O18" s="136">
        <f>'[1]raw data'!BB$20</f>
        <v/>
      </c>
      <c r="P18" s="124">
        <f>'[1]raw data'!BC$20</f>
        <v/>
      </c>
      <c r="Q18" s="137">
        <f>'[1]raw data'!BB$25/10^6</f>
        <v/>
      </c>
      <c r="R18" s="138">
        <f>'[1]raw data'!BC$25/10^6</f>
        <v/>
      </c>
      <c r="S18" s="70">
        <f>'[1]raw data'!BB$44</f>
        <v/>
      </c>
      <c r="T18" s="62">
        <f>'[1]raw data'!BC$44</f>
        <v/>
      </c>
      <c r="U18" s="56">
        <f>'[1]raw data'!BB$43</f>
        <v/>
      </c>
      <c r="V18" s="65">
        <f>'[1]raw data'!BC$43</f>
        <v/>
      </c>
      <c r="W18" s="139">
        <f>'[1]raw data'!BB$11/SUM('[1]raw data'!BB2,'[1]raw data'!BB5,'[1]raw data'!BB7,'[1]raw data'!BB10,'[1]raw data'!BB13)*100</f>
        <v/>
      </c>
      <c r="X18" s="140">
        <f>SUM('[1]raw data'!B10,'[1]raw data'!F10,'[1]raw data'!J10,'[1]raw data'!N10,'[1]raw data'!R10,'[1]raw data'!V10,'[1]raw data'!Z10,'[1]raw data'!AD10,'[1]raw data'!AH10,'[1]raw data'!AL10,'[1]raw data'!AP10,'[1]raw data'!AT10,'[1]raw data'!AX10,'[1]raw data'!BB10)/SUM('[1]raw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8" s="141">
        <f>SUM('[1]raw data'!B11,'[1]raw data'!F11,'[1]raw data'!J11,'[1]raw data'!N11,'[1]raw data'!R11,'[1]raw data'!V11,'[1]raw data'!Z11,'[1]raw data'!AD11,'[1]raw data'!AH11,'[1]raw data'!AL11,'[1]raw data'!AP11,'[1]raw data'!AT11,'[1]raw data'!AX11,'[1]raw data'!BB11)/SUM('[1]raw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8" s="134" t="n"/>
      <c r="AB18" s="134" t="n"/>
    </row>
    <row r="19" ht="15.75" customHeight="1" s="122" thickBot="1">
      <c r="A19" s="71" t="inlineStr">
        <is>
          <t>O</t>
        </is>
      </c>
      <c r="B19" s="72" t="n">
        <v>1500</v>
      </c>
      <c r="C19" s="145">
        <f>'[1]raw data'!BF$13</f>
        <v/>
      </c>
      <c r="D19" s="146">
        <f>'[1]raw data'!BG$13</f>
        <v/>
      </c>
      <c r="E19" s="145">
        <f>'[1]raw data'!BF$10</f>
        <v/>
      </c>
      <c r="F19" s="146">
        <f>'[1]raw data'!BG$10</f>
        <v/>
      </c>
      <c r="G19" s="145">
        <f>'[1]raw data'!BF$7</f>
        <v/>
      </c>
      <c r="H19" s="146">
        <f>'[1]raw data'!BG$7</f>
        <v/>
      </c>
      <c r="I19" s="145">
        <f>'[1]raw data'!BF$5</f>
        <v/>
      </c>
      <c r="J19" s="146">
        <f>'[1]raw data'!BG$5</f>
        <v/>
      </c>
      <c r="K19" s="145">
        <f>'[1]raw data'!BF$2</f>
        <v/>
      </c>
      <c r="L19" s="146">
        <f>'[1]raw data'!BG$2</f>
        <v/>
      </c>
      <c r="M19" s="147">
        <f>'[1]raw data'!BF$14</f>
        <v/>
      </c>
      <c r="N19" s="148">
        <f>'[1]raw data'!BF$14/SUM('[1]raw data'!BF2,'[1]raw data'!BF5,'[1]raw data'!BF7,'[1]raw data'!BF10,'[1]raw data'!BF13)*100</f>
        <v/>
      </c>
      <c r="O19" s="149">
        <f>'[1]raw data'!BF$20</f>
        <v/>
      </c>
      <c r="P19" s="146">
        <f>'[1]raw data'!BG$20</f>
        <v/>
      </c>
      <c r="Q19" s="150">
        <f>'[1]raw data'!BF$25/10^6</f>
        <v/>
      </c>
      <c r="R19" s="151">
        <f>'[1]raw data'!BG$25/10^6</f>
        <v/>
      </c>
      <c r="S19" s="73">
        <f>'[1]raw data'!BF$44</f>
        <v/>
      </c>
      <c r="T19" s="74">
        <f>'[1]raw data'!BG$44</f>
        <v/>
      </c>
      <c r="U19" s="75">
        <f>'[1]raw data'!BF$43</f>
        <v/>
      </c>
      <c r="V19" s="76">
        <f>'[1]raw data'!BG$43</f>
        <v/>
      </c>
      <c r="W19" s="152">
        <f>'[1]raw data'!BF$11/SUM('[1]raw data'!BF2,'[1]raw data'!BF5,'[1]raw data'!BF7,'[1]raw data'!BF10,'[1]raw data'!BF13)*100</f>
        <v/>
      </c>
      <c r="X19" s="153">
        <f>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data'!BF10)/SUM('[1]raw data'!B10,'[1]raw data'!F10,'[1]raw data'!J10,'[1]raw data'!N10,'[1]raw data'!R10,'[1]raw data'!V10,'[1]raw data'!Z10,'[1]raw data'!AD10,'[1]raw data'!AH10,'[1]raw data'!AL10,'[1]raw data'!AP10,'[1]raw data'!AT10,'[1]raw data'!AX10,'[1]raw data'!BB10,'[1]raw data'!BF10)*100</f>
        <v/>
      </c>
      <c r="Y19" s="154">
        <f>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data'!BF11)/SUM('[1]raw data'!B11,'[1]raw data'!F11,'[1]raw data'!J11,'[1]raw data'!N11,'[1]raw data'!R11,'[1]raw data'!V11,'[1]raw data'!Z11,'[1]raw data'!AD11,'[1]raw data'!AH11,'[1]raw data'!AL11,'[1]raw data'!AP11,'[1]raw data'!AT11,'[1]raw data'!AX11,'[1]raw data'!BB11,'[1]raw data'!BF11)*100</f>
        <v/>
      </c>
      <c r="AA19" s="134" t="n"/>
      <c r="AB19" s="134" t="n"/>
    </row>
    <row r="20" ht="17.25" customHeight="1" s="122">
      <c r="A20" s="25" t="n"/>
      <c r="B20" s="77" t="n"/>
      <c r="C20" s="78" t="n"/>
      <c r="D20" s="79" t="n"/>
      <c r="E20" s="79" t="n"/>
      <c r="F20" s="79" t="n"/>
      <c r="G20" s="79" t="n"/>
      <c r="H20" s="79" t="n"/>
      <c r="I20" s="79" t="n"/>
      <c r="J20" s="79" t="n"/>
      <c r="K20" s="155" t="n"/>
      <c r="L20" s="155" t="n"/>
      <c r="M20" s="79" t="n"/>
      <c r="N20" s="79" t="n"/>
      <c r="O20" s="79" t="n"/>
      <c r="P20" s="79" t="n"/>
      <c r="Q20" s="80" t="inlineStr">
        <is>
          <t>Plateau Age: 10.51 ± 0.43Ma(2σ)(900-1400ﾟC); MSWD = 0.15; 86% of 39Ar</t>
        </is>
      </c>
      <c r="R20" s="77" t="n"/>
      <c r="S20" s="79" t="n"/>
      <c r="T20" s="79" t="n"/>
      <c r="U20" s="77" t="n"/>
      <c r="V20" s="77" t="n"/>
      <c r="W20" s="81" t="n"/>
      <c r="X20" s="82" t="n"/>
      <c r="Y20" s="79" t="n"/>
      <c r="Z20" s="78" t="n"/>
    </row>
    <row r="21" ht="15" customHeight="1" s="122">
      <c r="A21" s="25" t="n"/>
      <c r="B21" s="77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155" t="n"/>
      <c r="L21" s="155" t="n"/>
      <c r="M21" s="79" t="n"/>
      <c r="N21" s="79" t="n"/>
      <c r="O21" s="79" t="n"/>
      <c r="P21" s="79" t="n"/>
      <c r="R21" s="77" t="n"/>
      <c r="S21" s="79" t="n"/>
      <c r="T21" s="79" t="n"/>
      <c r="U21" s="77" t="n"/>
      <c r="V21" s="77" t="n"/>
      <c r="W21" s="77" t="n"/>
      <c r="X21" s="77" t="n"/>
      <c r="Y21" s="79" t="n"/>
      <c r="Z21" s="78" t="n"/>
    </row>
    <row r="22" ht="15" customHeight="1" s="122">
      <c r="A22" s="25" t="n"/>
      <c r="B22" s="77" t="n"/>
      <c r="C22" s="78" t="n"/>
      <c r="D22" s="79" t="n"/>
      <c r="E22" s="79" t="n"/>
      <c r="F22" s="79" t="n"/>
      <c r="G22" s="79" t="n"/>
      <c r="H22" s="79" t="n"/>
      <c r="I22" s="79" t="n"/>
      <c r="J22" s="79" t="n"/>
      <c r="K22" s="155" t="n"/>
      <c r="L22" s="155" t="n"/>
      <c r="M22" s="79" t="n"/>
      <c r="N22" s="79" t="n"/>
      <c r="O22" s="79" t="n"/>
      <c r="P22" s="79" t="n"/>
      <c r="Q22" s="77" t="n"/>
      <c r="R22" s="77" t="n"/>
      <c r="S22" s="79" t="n"/>
      <c r="T22" s="79" t="n"/>
      <c r="U22" s="77" t="n"/>
      <c r="V22" s="77" t="n"/>
      <c r="W22" s="77" t="n"/>
      <c r="X22" s="77" t="n"/>
      <c r="Y22" s="79" t="n"/>
      <c r="Z22" s="78" t="n"/>
    </row>
    <row r="23" ht="15" customHeight="1" s="122">
      <c r="A23" s="25" t="n"/>
      <c r="C23" s="78" t="n"/>
      <c r="D23" s="79" t="n"/>
      <c r="E23" s="79" t="n"/>
      <c r="F23" s="79" t="n"/>
      <c r="G23" s="79" t="n"/>
      <c r="H23" s="79" t="n"/>
      <c r="I23" s="79" t="n"/>
      <c r="J23" s="79" t="n"/>
      <c r="K23" s="155" t="n"/>
      <c r="L23" s="155" t="n"/>
      <c r="M23" s="79" t="n"/>
      <c r="N23" s="79" t="n"/>
      <c r="O23" s="79" t="n"/>
      <c r="P23" s="79" t="n"/>
      <c r="Q23" s="77" t="n"/>
      <c r="R23" s="77" t="n"/>
      <c r="S23" s="79" t="n"/>
      <c r="T23" s="79" t="n"/>
      <c r="U23" s="77" t="n"/>
      <c r="V23" s="77" t="n"/>
      <c r="W23" s="77" t="n"/>
      <c r="X23" s="77" t="n"/>
      <c r="Y23" s="79" t="n"/>
      <c r="Z23" s="78" t="n"/>
    </row>
    <row r="24" ht="15" customHeight="1" s="122">
      <c r="K24" s="155" t="n"/>
      <c r="L24" s="155" t="n"/>
      <c r="P24" s="79" t="n"/>
      <c r="Q24" s="77" t="n"/>
      <c r="R24" s="77" t="n"/>
      <c r="S24" s="79" t="n"/>
      <c r="T24" s="79" t="n"/>
      <c r="U24" s="77" t="n"/>
      <c r="V24" s="77" t="n"/>
      <c r="W24" s="77" t="n"/>
      <c r="X24" s="82" t="n"/>
      <c r="Y24" s="79" t="n"/>
      <c r="Z24" s="78" t="n"/>
    </row>
    <row r="25" ht="15" customHeight="1" s="122">
      <c r="K25" s="155" t="n"/>
      <c r="L25" s="155" t="n"/>
      <c r="P25" s="79" t="n"/>
      <c r="Q25" s="77" t="n"/>
      <c r="R25" s="77" t="n"/>
      <c r="S25" s="79" t="n"/>
      <c r="T25" s="79" t="n"/>
      <c r="U25" s="77" t="n"/>
      <c r="V25" s="77" t="n"/>
      <c r="W25" s="77" t="n"/>
      <c r="X25" s="77" t="n"/>
      <c r="Y25" s="79" t="n"/>
      <c r="Z25" s="78" t="n"/>
    </row>
    <row r="26" ht="15" customHeight="1" s="122">
      <c r="K26" s="155" t="n"/>
      <c r="L26" s="155" t="n"/>
      <c r="P26" s="79" t="n"/>
      <c r="Q26" s="77" t="n"/>
      <c r="R26" s="77" t="n"/>
      <c r="S26" s="79" t="n"/>
      <c r="T26" s="79" t="n"/>
      <c r="U26" s="77" t="n"/>
      <c r="V26" s="77" t="n"/>
      <c r="W26" s="77" t="n"/>
      <c r="X26" s="77" t="n"/>
      <c r="Y26" s="79" t="n"/>
      <c r="Z26" s="78" t="n"/>
    </row>
    <row r="27">
      <c r="K27" s="155" t="n"/>
      <c r="L27" s="155" t="n"/>
    </row>
    <row r="28">
      <c r="K28" s="155" t="n"/>
      <c r="L28" s="155" t="n"/>
    </row>
    <row r="29">
      <c r="K29" s="155" t="n"/>
      <c r="L29" s="155" t="n"/>
    </row>
    <row r="30">
      <c r="K30" s="155" t="n"/>
      <c r="L30" s="155" t="n"/>
    </row>
    <row r="31">
      <c r="K31" s="155" t="n"/>
      <c r="L31" s="155" t="n"/>
    </row>
    <row r="32">
      <c r="K32" s="155" t="n"/>
      <c r="L32" s="155" t="n"/>
    </row>
    <row r="33">
      <c r="K33" s="155" t="n"/>
      <c r="L33" s="155" t="n"/>
    </row>
    <row r="34">
      <c r="K34" s="155" t="n"/>
      <c r="L34" s="155" t="n"/>
    </row>
    <row r="35">
      <c r="K35" s="155" t="n"/>
      <c r="L35" s="155" t="n"/>
    </row>
    <row r="36">
      <c r="K36" s="155" t="n"/>
      <c r="L36" s="155" t="n"/>
    </row>
    <row r="37">
      <c r="K37" s="155" t="n"/>
      <c r="L37" s="155" t="n"/>
    </row>
    <row r="38">
      <c r="K38" s="155" t="n"/>
      <c r="L38" s="155" t="n"/>
    </row>
  </sheetData>
  <conditionalFormatting sqref="S5:S19">
    <cfRule type="cellIs" priority="1" operator="greaterThan" dxfId="0">
      <formula>0.01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zoomScale="70" zoomScaleNormal="70" workbookViewId="0">
      <selection activeCell="A49" sqref="A49:P67"/>
    </sheetView>
  </sheetViews>
  <sheetFormatPr baseColWidth="8" defaultRowHeight="14.25"/>
  <cols>
    <col width="11.875" bestFit="1" customWidth="1" style="17" min="1" max="1"/>
    <col width="7.875" bestFit="1" customWidth="1" style="17" min="2" max="2"/>
    <col width="9.5" customWidth="1" style="17" min="3" max="3"/>
    <col width="9" customWidth="1" style="17" min="4" max="4"/>
    <col width="16.875" bestFit="1" customWidth="1" style="17" min="5" max="6"/>
    <col width="18.75" bestFit="1" customWidth="1" style="17" min="7" max="7"/>
    <col width="9.75" bestFit="1" customWidth="1" style="17" min="8" max="8"/>
    <col width="15" bestFit="1" customWidth="1" style="17" min="9" max="9"/>
    <col width="14.625" bestFit="1" customWidth="1" style="17" min="10" max="10"/>
    <col width="9" customWidth="1" style="17" min="11" max="12"/>
    <col width="9" customWidth="1" style="17" min="13" max="16384"/>
  </cols>
  <sheetData>
    <row r="1" ht="17.25" customHeight="1" s="122">
      <c r="A1" s="11" t="inlineStr">
        <is>
          <t>39Arm/36Arm</t>
        </is>
      </c>
      <c r="B1" s="19" t="inlineStr">
        <is>
          <t>s</t>
        </is>
      </c>
      <c r="C1" s="19" t="inlineStr">
        <is>
          <t>40Arm/36Arm</t>
        </is>
      </c>
      <c r="D1" s="19" t="inlineStr">
        <is>
          <t>s</t>
        </is>
      </c>
      <c r="E1" s="12" t="n"/>
      <c r="F1" s="12" t="n"/>
      <c r="G1" s="13" t="n"/>
      <c r="H1" s="13" t="n"/>
      <c r="I1" s="14" t="n"/>
      <c r="J1" s="19" t="n"/>
      <c r="K1" s="14" t="n"/>
    </row>
    <row r="2">
      <c r="A2" s="15">
        <f>'[1]output data'!E5/'[1]output data'!C5</f>
        <v/>
      </c>
      <c r="B2" s="15">
        <f>A2*(('[1]output data'!F5/'[1]output data'!E5)^2+('[1]output data'!D5/'[1]output data'!C5)^2)^(1/2)</f>
        <v/>
      </c>
      <c r="C2" s="15">
        <f>'[1]output data'!K5/'[1]output data'!C5</f>
        <v/>
      </c>
      <c r="D2" s="15">
        <f>C2*(('[1]output data'!L5/'[1]output data'!K5)^2+('[1]output data'!D5/'[1]output data'!C5)^2)^(1/2)</f>
        <v/>
      </c>
      <c r="E2" s="15" t="n"/>
      <c r="F2" s="15" t="n"/>
      <c r="G2" s="15" t="n"/>
      <c r="H2" s="15" t="n"/>
      <c r="I2" s="15" t="n"/>
      <c r="J2" s="15" t="n"/>
    </row>
    <row r="3">
      <c r="A3" s="15">
        <f>'[1]output data'!E6/'[1]output data'!C6</f>
        <v/>
      </c>
      <c r="B3" s="15">
        <f>A3*(('[1]output data'!F6/'[1]output data'!E6)^2+('[1]output data'!D6/'[1]output data'!C6)^2)^(1/2)</f>
        <v/>
      </c>
      <c r="C3" s="15">
        <f>'[1]output data'!K6/'[1]output data'!C6</f>
        <v/>
      </c>
      <c r="D3" s="15">
        <f>C3*(('[1]output data'!L6/'[1]output data'!K6)^2+('[1]output data'!D6/'[1]output data'!C6)^2)^(1/2)</f>
        <v/>
      </c>
      <c r="E3" s="15" t="n"/>
      <c r="F3" s="15" t="n"/>
      <c r="G3" s="15" t="n"/>
      <c r="H3" s="15" t="n"/>
    </row>
    <row r="4">
      <c r="A4" s="15">
        <f>'[1]output data'!E7/'[1]output data'!C7</f>
        <v/>
      </c>
      <c r="B4" s="15">
        <f>A4*(('[1]output data'!F7/'[1]output data'!E7)^2+('[1]output data'!D7/'[1]output data'!C7)^2)^(1/2)</f>
        <v/>
      </c>
      <c r="C4" s="15">
        <f>'[1]output data'!K7/'[1]output data'!C7</f>
        <v/>
      </c>
      <c r="D4" s="15">
        <f>C4*(('[1]output data'!L7/'[1]output data'!K7)^2+('[1]output data'!D7/'[1]output data'!C7)^2)^(1/2)</f>
        <v/>
      </c>
      <c r="E4" s="15" t="n"/>
      <c r="F4" s="15" t="n"/>
      <c r="G4" s="15" t="n"/>
      <c r="H4" s="15" t="n"/>
    </row>
    <row r="5">
      <c r="A5" s="15">
        <f>'[1]output data'!E8/'[1]output data'!C8</f>
        <v/>
      </c>
      <c r="B5" s="15">
        <f>A5*(('[1]output data'!F8/'[1]output data'!E8)^2+('[1]output data'!D8/'[1]output data'!C8)^2)^(1/2)</f>
        <v/>
      </c>
      <c r="C5" s="15">
        <f>'[1]output data'!K8/'[1]output data'!C8</f>
        <v/>
      </c>
      <c r="D5" s="15">
        <f>C5*(('[1]output data'!L8/'[1]output data'!K8)^2+('[1]output data'!D8/'[1]output data'!C8)^2)^(1/2)</f>
        <v/>
      </c>
      <c r="E5" s="15" t="n"/>
      <c r="F5" s="15" t="n"/>
      <c r="G5" s="15" t="n"/>
      <c r="H5" s="15" t="n"/>
    </row>
    <row r="6">
      <c r="A6" s="15">
        <f>'[1]output data'!E9/'[1]output data'!C9</f>
        <v/>
      </c>
      <c r="B6" s="15">
        <f>A6*(('[1]output data'!F9/'[1]output data'!E9)^2+('[1]output data'!D9/'[1]output data'!C9)^2)^(1/2)</f>
        <v/>
      </c>
      <c r="C6" s="15">
        <f>'[1]output data'!K9/'[1]output data'!C9</f>
        <v/>
      </c>
      <c r="D6" s="15">
        <f>C6*(('[1]output data'!L9/'[1]output data'!K9)^2+('[1]output data'!D9/'[1]output data'!C9)^2)^(1/2)</f>
        <v/>
      </c>
      <c r="E6" s="15" t="n"/>
      <c r="F6" s="15" t="n"/>
      <c r="G6" s="15" t="n"/>
      <c r="H6" s="15" t="n"/>
    </row>
    <row r="7">
      <c r="A7" s="15">
        <f>'[1]output data'!E10/'[1]output data'!C10</f>
        <v/>
      </c>
      <c r="B7" s="15">
        <f>A7*(('[1]output data'!F10/'[1]output data'!E10)^2+('[1]output data'!D10/'[1]output data'!C10)^2)^(1/2)</f>
        <v/>
      </c>
      <c r="C7" s="15">
        <f>'[1]output data'!K10/'[1]output data'!C10</f>
        <v/>
      </c>
      <c r="D7" s="15">
        <f>C7*(('[1]output data'!L10/'[1]output data'!K10)^2+('[1]output data'!D10/'[1]output data'!C10)^2)^(1/2)</f>
        <v/>
      </c>
      <c r="E7" s="15" t="n"/>
      <c r="F7" s="15" t="n"/>
      <c r="G7" s="15" t="n"/>
      <c r="H7" s="15" t="n"/>
    </row>
    <row r="8">
      <c r="A8" s="15">
        <f>'[1]output data'!E11/'[1]output data'!C11</f>
        <v/>
      </c>
      <c r="B8" s="15">
        <f>A8*(('[1]output data'!F11/'[1]output data'!E11)^2+('[1]output data'!D11/'[1]output data'!C11)^2)^(1/2)</f>
        <v/>
      </c>
      <c r="C8" s="15">
        <f>'[1]output data'!K11/'[1]output data'!C11</f>
        <v/>
      </c>
      <c r="D8" s="15">
        <f>C8*(('[1]output data'!L11/'[1]output data'!K11)^2+('[1]output data'!D11/'[1]output data'!C11)^2)^(1/2)</f>
        <v/>
      </c>
      <c r="E8" s="15" t="n"/>
      <c r="F8" s="15" t="n"/>
      <c r="G8" s="15" t="n"/>
      <c r="H8" s="15" t="n"/>
    </row>
    <row r="9">
      <c r="A9" s="15">
        <f>'[1]output data'!E12/'[1]output data'!C12</f>
        <v/>
      </c>
      <c r="B9" s="15">
        <f>A9*(('[1]output data'!F12/'[1]output data'!E12)^2+('[1]output data'!D12/'[1]output data'!C12)^2)^(1/2)</f>
        <v/>
      </c>
      <c r="C9" s="15">
        <f>'[1]output data'!K12/'[1]output data'!C12</f>
        <v/>
      </c>
      <c r="D9" s="15">
        <f>C9*(('[1]output data'!L12/'[1]output data'!K12)^2+('[1]output data'!D12/'[1]output data'!C12)^2)^(1/2)</f>
        <v/>
      </c>
      <c r="E9" s="15" t="n"/>
      <c r="F9" s="15" t="n"/>
      <c r="G9" s="15" t="n"/>
      <c r="H9" s="15" t="n"/>
    </row>
    <row r="10">
      <c r="A10" s="15">
        <f>'[1]output data'!E13/'[1]output data'!C13</f>
        <v/>
      </c>
      <c r="B10" s="15">
        <f>A10*(('[1]output data'!F13/'[1]output data'!E13)^2+('[1]output data'!D13/'[1]output data'!C13)^2)^(1/2)</f>
        <v/>
      </c>
      <c r="C10" s="15">
        <f>'[1]output data'!K13/'[1]output data'!C13</f>
        <v/>
      </c>
      <c r="D10" s="15">
        <f>C10*(('[1]output data'!L13/'[1]output data'!K13)^2+('[1]output data'!D13/'[1]output data'!C13)^2)^(1/2)</f>
        <v/>
      </c>
      <c r="E10" s="15" t="n"/>
      <c r="F10" s="15" t="n"/>
      <c r="G10" s="15" t="n"/>
      <c r="H10" s="15" t="n"/>
    </row>
    <row r="11">
      <c r="A11" s="15">
        <f>'[1]output data'!E14/'[1]output data'!C14</f>
        <v/>
      </c>
      <c r="B11" s="15">
        <f>A11*(('[1]output data'!F14/'[1]output data'!E14)^2+('[1]output data'!D14/'[1]output data'!C14)^2)^(1/2)</f>
        <v/>
      </c>
      <c r="C11" s="15">
        <f>'[1]output data'!K14/'[1]output data'!C14</f>
        <v/>
      </c>
      <c r="D11" s="15">
        <f>C11*(('[1]output data'!L14/'[1]output data'!K14)^2+('[1]output data'!D14/'[1]output data'!C14)^2)^(1/2)</f>
        <v/>
      </c>
      <c r="E11" s="15" t="n"/>
      <c r="F11" s="15" t="n"/>
      <c r="G11" s="15" t="n"/>
      <c r="H11" s="15" t="n"/>
    </row>
    <row r="12">
      <c r="A12" s="15">
        <f>'[1]output data'!E15/'[1]output data'!C15</f>
        <v/>
      </c>
      <c r="B12" s="15">
        <f>A12*(('[1]output data'!F15/'[1]output data'!E15)^2+('[1]output data'!D15/'[1]output data'!C15)^2)^(1/2)</f>
        <v/>
      </c>
      <c r="C12" s="15">
        <f>'[1]output data'!K15/'[1]output data'!C15</f>
        <v/>
      </c>
      <c r="D12" s="15">
        <f>C12*(('[1]output data'!L15/'[1]output data'!K15)^2+('[1]output data'!D15/'[1]output data'!C15)^2)^(1/2)</f>
        <v/>
      </c>
      <c r="E12" s="15" t="n"/>
      <c r="F12" s="15" t="n"/>
      <c r="G12" s="15" t="n"/>
      <c r="H12" s="15" t="n"/>
    </row>
    <row r="13">
      <c r="A13" s="15">
        <f>'[1]output data'!E16/'[1]output data'!C16</f>
        <v/>
      </c>
      <c r="B13" s="15">
        <f>A13*(('[1]output data'!F16/'[1]output data'!E16)^2+('[1]output data'!D16/'[1]output data'!C16)^2)^(1/2)</f>
        <v/>
      </c>
      <c r="C13" s="15">
        <f>'[1]output data'!K16/'[1]output data'!C16</f>
        <v/>
      </c>
      <c r="D13" s="15">
        <f>C13*(('[1]output data'!L16/'[1]output data'!K16)^2+('[1]output data'!D16/'[1]output data'!C16)^2)^(1/2)</f>
        <v/>
      </c>
      <c r="E13" s="15" t="n"/>
      <c r="F13" s="15" t="n"/>
      <c r="G13" s="15" t="n"/>
      <c r="H13" s="15" t="n"/>
    </row>
    <row r="14">
      <c r="A14" s="15">
        <f>'[1]output data'!E17/'[1]output data'!C17</f>
        <v/>
      </c>
      <c r="B14" s="15">
        <f>A14*(('[1]output data'!F17/'[1]output data'!E17)^2+('[1]output data'!D17/'[1]output data'!C17)^2)^(1/2)</f>
        <v/>
      </c>
      <c r="C14" s="15">
        <f>'[1]output data'!K17/'[1]output data'!C17</f>
        <v/>
      </c>
      <c r="D14" s="15">
        <f>C14*(('[1]output data'!L17/'[1]output data'!K17)^2+('[1]output data'!D17/'[1]output data'!C17)^2)^(1/2)</f>
        <v/>
      </c>
      <c r="E14" s="15" t="n"/>
      <c r="F14" s="15" t="n"/>
      <c r="G14" s="15" t="n"/>
      <c r="H14" s="15" t="n"/>
    </row>
    <row r="15">
      <c r="A15" s="15">
        <f>'[1]output data'!E18/'[1]output data'!C18</f>
        <v/>
      </c>
      <c r="B15" s="15">
        <f>A15*(('[1]output data'!F18/'[1]output data'!E18)^2+('[1]output data'!D18/'[1]output data'!C18)^2)^(1/2)</f>
        <v/>
      </c>
      <c r="C15" s="15">
        <f>'[1]output data'!K18/'[1]output data'!C18</f>
        <v/>
      </c>
      <c r="D15" s="15">
        <f>C15*(('[1]output data'!L18/'[1]output data'!K18)^2+('[1]output data'!D18/'[1]output data'!C18)^2)^(1/2)</f>
        <v/>
      </c>
      <c r="E15" s="15" t="n"/>
      <c r="F15" s="15" t="n"/>
      <c r="G15" s="15" t="n"/>
      <c r="H15" s="15" t="n"/>
    </row>
    <row r="16">
      <c r="A16" s="15">
        <f>'[1]output data'!E19/'[1]output data'!C19</f>
        <v/>
      </c>
      <c r="B16" s="15">
        <f>A16*(('[1]output data'!F19/'[1]output data'!E19)^2+('[1]output data'!D19/'[1]output data'!C19)^2)^(1/2)</f>
        <v/>
      </c>
      <c r="C16" s="15">
        <f>'[1]output data'!K19/'[1]output data'!C19</f>
        <v/>
      </c>
      <c r="D16" s="15">
        <f>C16*(('[1]output data'!L19/'[1]output data'!K19)^2+('[1]output data'!D19/'[1]output data'!C19)^2)^(1/2)</f>
        <v/>
      </c>
      <c r="E16" s="15" t="n"/>
      <c r="F16" s="15" t="n"/>
      <c r="G16" s="15" t="n"/>
      <c r="H16" s="15" t="n"/>
    </row>
    <row r="17">
      <c r="A17" s="16" t="inlineStr">
        <is>
          <t>使用excel增益集&gt;分析工具箱&gt;資料分析&gt;回歸分析(regression)</t>
        </is>
      </c>
      <c r="E17" s="15" t="n"/>
      <c r="F17" s="15" t="n"/>
      <c r="G17" s="15" t="n"/>
      <c r="H17" s="15" t="n"/>
    </row>
    <row r="18">
      <c r="A18" s="0">
        <f>MIN(A2:A16)</f>
        <v/>
      </c>
      <c r="B18" s="0" t="n">
        <v>298.56</v>
      </c>
    </row>
    <row r="19">
      <c r="A19" s="0">
        <f>MAX(A2:A16)</f>
        <v/>
      </c>
      <c r="B19" s="0" t="n">
        <v>298.56</v>
      </c>
    </row>
    <row r="22">
      <c r="G22" s="18" t="n"/>
      <c r="H22" s="18" t="n"/>
      <c r="O22" s="18" t="n"/>
      <c r="P22" s="18" t="n"/>
    </row>
    <row r="23">
      <c r="G23" s="19" t="n"/>
      <c r="H23" s="19" t="n"/>
      <c r="O23" s="19" t="n"/>
      <c r="P23" s="19" t="n"/>
    </row>
    <row r="24">
      <c r="G24" s="19" t="n"/>
      <c r="H24" s="19" t="n"/>
      <c r="O24" s="19" t="n"/>
      <c r="P24" s="19" t="n"/>
    </row>
    <row r="25">
      <c r="G25" s="19" t="n"/>
      <c r="H25" s="19" t="n"/>
      <c r="O25" s="19" t="n"/>
      <c r="P25" s="19" t="n"/>
    </row>
    <row r="26">
      <c r="G26" s="19" t="n"/>
      <c r="H26" s="19" t="n"/>
      <c r="O26" s="19" t="n"/>
      <c r="P26" s="19" t="n"/>
    </row>
    <row r="27">
      <c r="G27" s="19" t="n"/>
      <c r="H27" s="19" t="n"/>
      <c r="O27" s="19" t="n"/>
      <c r="P27" s="19" t="n"/>
    </row>
    <row r="30">
      <c r="G30" s="20" t="n"/>
      <c r="H30" s="20" t="n"/>
      <c r="I30" s="20" t="n"/>
      <c r="J30" s="20" t="n"/>
      <c r="K30" s="20" t="n"/>
      <c r="L30" s="20" t="n"/>
      <c r="O30" s="20" t="n"/>
      <c r="P30" s="20" t="n"/>
    </row>
    <row r="31">
      <c r="G31" s="19" t="n"/>
      <c r="H31" s="19" t="n"/>
      <c r="I31" s="19" t="n"/>
      <c r="J31" s="19" t="n"/>
      <c r="K31" s="19" t="n"/>
      <c r="L31" s="19" t="n"/>
      <c r="O31" s="19" t="n"/>
      <c r="P31" s="19" t="n"/>
    </row>
    <row r="32">
      <c r="G32" s="19" t="n"/>
      <c r="H32" s="19" t="n"/>
      <c r="I32" s="19" t="n"/>
      <c r="J32" s="19" t="n"/>
      <c r="K32" s="19" t="n"/>
      <c r="L32" s="19" t="n"/>
      <c r="O32" s="19" t="n"/>
      <c r="P32" s="19" t="n"/>
    </row>
    <row r="33">
      <c r="G33" s="19" t="n"/>
      <c r="H33" s="19" t="n"/>
      <c r="I33" s="19" t="n"/>
      <c r="J33" s="19" t="n"/>
      <c r="K33" s="19" t="n"/>
      <c r="L33" s="19" t="n"/>
      <c r="O33" s="19" t="n"/>
      <c r="P33" s="19" t="n"/>
    </row>
    <row r="35"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</row>
    <row r="36"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</row>
    <row r="37"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</row>
    <row r="43">
      <c r="G43" s="20" t="n"/>
      <c r="H43" s="20" t="n"/>
      <c r="I43" s="20" t="n"/>
      <c r="O43" s="20" t="n"/>
      <c r="P43" s="20" t="n"/>
    </row>
    <row r="44">
      <c r="G44" s="19" t="n"/>
      <c r="H44" s="19" t="n"/>
      <c r="I44" s="19" t="n"/>
      <c r="O44" s="19" t="n"/>
      <c r="P44" s="19" t="n"/>
    </row>
    <row r="45">
      <c r="G45" s="19" t="n"/>
      <c r="H45" s="19" t="n"/>
      <c r="I45" s="19" t="n"/>
      <c r="O45" s="19" t="n"/>
      <c r="P45" s="19" t="n"/>
    </row>
    <row r="46">
      <c r="G46" s="19" t="n"/>
      <c r="H46" s="19" t="n"/>
      <c r="I46" s="19" t="n"/>
      <c r="O46" s="19" t="n"/>
      <c r="P46" s="19" t="n"/>
    </row>
    <row r="47">
      <c r="G47" s="19" t="n"/>
      <c r="H47" s="19" t="n"/>
      <c r="I47" s="19" t="n"/>
      <c r="O47" s="19" t="n"/>
      <c r="P47" s="19" t="n"/>
    </row>
    <row r="48">
      <c r="G48" s="19" t="n"/>
      <c r="H48" s="19" t="n"/>
      <c r="I48" s="19" t="n"/>
      <c r="O48" s="19" t="n"/>
      <c r="P48" s="19" t="n"/>
    </row>
    <row r="49" ht="17.25" customHeight="1" s="122">
      <c r="A49" s="11" t="n"/>
      <c r="B49" s="19" t="n"/>
      <c r="C49" s="19" t="n"/>
      <c r="D49" s="19" t="n"/>
      <c r="F49" s="11" t="n"/>
      <c r="G49" s="19" t="n"/>
      <c r="H49" s="19" t="n"/>
      <c r="I49" s="19" t="n"/>
      <c r="O49" s="19" t="n"/>
      <c r="P49" s="19" t="n"/>
    </row>
    <row r="50">
      <c r="A50" s="21" t="n"/>
      <c r="B50" s="21" t="n"/>
      <c r="C50" s="21" t="n"/>
      <c r="D50" s="21" t="n"/>
      <c r="E50" s="22" t="n"/>
      <c r="F50" s="21" t="n"/>
      <c r="G50" s="21" t="n"/>
      <c r="H50" s="19" t="n"/>
      <c r="I50" s="19" t="n"/>
      <c r="O50" s="19" t="n"/>
      <c r="P50" s="19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19" t="n"/>
      <c r="I51" s="19" t="n"/>
      <c r="O51" s="19" t="n"/>
      <c r="P51" s="19" t="n"/>
    </row>
    <row r="52">
      <c r="A52" s="21" t="n"/>
      <c r="B52" s="21" t="n"/>
      <c r="C52" s="21" t="n"/>
      <c r="D52" s="21" t="n"/>
      <c r="E52" s="22" t="n"/>
      <c r="F52" s="21" t="n"/>
      <c r="G52" s="21" t="n"/>
      <c r="H52" s="19" t="n"/>
      <c r="I52" s="19" t="n"/>
      <c r="O52" s="19" t="n"/>
      <c r="P52" s="19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19" t="n"/>
      <c r="I53" s="19" t="n"/>
      <c r="O53" s="19" t="n"/>
      <c r="P53" s="19" t="n"/>
    </row>
    <row r="54">
      <c r="A54" s="21" t="n"/>
      <c r="B54" s="21" t="n"/>
      <c r="C54" s="21" t="n"/>
      <c r="D54" s="21" t="n"/>
      <c r="E54" s="22" t="n"/>
      <c r="F54" s="21" t="n"/>
      <c r="G54" s="21" t="n"/>
      <c r="H54" s="19" t="n"/>
      <c r="I54" s="19" t="n"/>
      <c r="O54" s="19" t="n"/>
      <c r="P54" s="19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19" t="n"/>
      <c r="I55" s="19" t="n"/>
      <c r="O55" s="19" t="n"/>
      <c r="P55" s="19" t="n"/>
    </row>
    <row r="56">
      <c r="A56" s="21" t="n"/>
      <c r="B56" s="21" t="n"/>
      <c r="C56" s="21" t="n"/>
      <c r="D56" s="21" t="n"/>
      <c r="E56" s="22" t="n"/>
      <c r="F56" s="21" t="n"/>
      <c r="G56" s="21" t="n"/>
      <c r="H56" s="19" t="n"/>
      <c r="I56" s="19" t="n"/>
      <c r="O56" s="19" t="n"/>
      <c r="P56" s="19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19" t="n"/>
      <c r="I57" s="19" t="n"/>
      <c r="O57" s="19" t="n"/>
      <c r="P57" s="19" t="n"/>
    </row>
    <row r="58">
      <c r="A58" s="21" t="n"/>
      <c r="B58" s="21" t="n"/>
      <c r="C58" s="21" t="n"/>
      <c r="D58" s="21" t="n"/>
      <c r="E58" s="22" t="n"/>
      <c r="F58" s="21" t="n"/>
      <c r="G58" s="21" t="n"/>
      <c r="H58" s="19" t="n"/>
      <c r="I58" s="19" t="n"/>
      <c r="O58" s="19" t="n"/>
      <c r="P58" s="19" t="n"/>
    </row>
    <row r="59">
      <c r="A59" s="21" t="n"/>
      <c r="B59" s="21" t="n"/>
      <c r="C59" s="21" t="n"/>
      <c r="D59" s="21" t="n"/>
      <c r="E59" s="22" t="n"/>
      <c r="F59" s="21" t="n"/>
      <c r="G59" s="21" t="n"/>
    </row>
    <row r="60">
      <c r="A60" s="21" t="n"/>
      <c r="B60" s="21" t="n"/>
      <c r="C60" s="21" t="n"/>
      <c r="D60" s="21" t="n"/>
      <c r="E60" s="22" t="n"/>
      <c r="F60" s="21" t="n"/>
      <c r="G60" s="21" t="n"/>
    </row>
    <row r="61">
      <c r="A61" s="21" t="n"/>
      <c r="B61" s="21" t="n"/>
      <c r="C61" s="21" t="n"/>
      <c r="D61" s="21" t="n"/>
      <c r="E61" s="22" t="n"/>
      <c r="F61" s="21" t="n"/>
      <c r="G61" s="21" t="n"/>
    </row>
    <row r="62">
      <c r="A62" s="21" t="n"/>
      <c r="B62" s="21" t="n"/>
      <c r="C62" s="21" t="n"/>
      <c r="D62" s="21" t="n"/>
      <c r="E62" s="22" t="n"/>
      <c r="F62" s="21" t="n"/>
      <c r="G62" s="21" t="n"/>
    </row>
    <row r="63">
      <c r="A63" s="21" t="n"/>
      <c r="B63" s="21" t="n"/>
      <c r="C63" s="21" t="n"/>
      <c r="D63" s="21" t="n"/>
      <c r="E63" s="22" t="n"/>
      <c r="F63" s="21" t="n"/>
      <c r="G63" s="21" t="n"/>
    </row>
    <row r="64">
      <c r="A64" s="21" t="n"/>
      <c r="B64" s="21" t="n"/>
      <c r="C64" s="21" t="n"/>
      <c r="D64" s="21" t="n"/>
      <c r="E64" s="22" t="n"/>
      <c r="F64" s="21" t="n"/>
      <c r="G64" s="2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zoomScale="85" zoomScaleNormal="85" workbookViewId="0">
      <selection activeCell="H54" sqref="H54"/>
    </sheetView>
  </sheetViews>
  <sheetFormatPr baseColWidth="8" defaultRowHeight="14.25"/>
  <cols>
    <col width="11.875" bestFit="1" customWidth="1" style="17" min="1" max="1"/>
    <col width="7.875" bestFit="1" customWidth="1" style="17" min="2" max="2"/>
    <col width="9.5" customWidth="1" style="17" min="3" max="3"/>
    <col width="9" customWidth="1" style="17" min="4" max="4"/>
    <col width="16.875" bestFit="1" customWidth="1" style="17" min="5" max="6"/>
    <col width="18.75" bestFit="1" customWidth="1" style="17" min="7" max="7"/>
    <col width="9.75" bestFit="1" customWidth="1" style="17" min="8" max="8"/>
    <col width="15" bestFit="1" customWidth="1" style="17" min="9" max="9"/>
    <col width="14.625" bestFit="1" customWidth="1" style="17" min="10" max="10"/>
    <col width="9" customWidth="1" style="17" min="11" max="12"/>
    <col width="9" customWidth="1" style="17" min="13" max="16384"/>
  </cols>
  <sheetData>
    <row r="1" ht="17.25" customHeight="1" s="122">
      <c r="A1" s="11" t="inlineStr">
        <is>
          <t>39Arm/40Arm</t>
        </is>
      </c>
      <c r="B1" s="19" t="inlineStr">
        <is>
          <t>s</t>
        </is>
      </c>
      <c r="C1" s="19" t="inlineStr">
        <is>
          <t>36Arm/40Arm</t>
        </is>
      </c>
      <c r="D1" s="19" t="inlineStr">
        <is>
          <t>s</t>
        </is>
      </c>
      <c r="E1" s="12" t="n"/>
      <c r="F1" s="12" t="n"/>
      <c r="G1" s="13" t="n"/>
      <c r="H1" s="13" t="n"/>
      <c r="I1" s="14" t="n"/>
      <c r="J1" s="19" t="n"/>
      <c r="K1" s="14" t="n"/>
    </row>
    <row r="2">
      <c r="A2" s="15">
        <f>'[1]output data'!E5/'[1]output data'!C5</f>
        <v/>
      </c>
      <c r="B2" s="15">
        <f>A2*(('[1]output data'!F5/'[1]output data'!E5)^2+('[1]output data'!D5/'[1]output data'!C5)^2)^(1/2)</f>
        <v/>
      </c>
      <c r="C2" s="15">
        <f>'[1]output data'!K5/'[1]output data'!C5</f>
        <v/>
      </c>
      <c r="D2" s="15">
        <f>C2*(('[1]output data'!L5/'[1]output data'!K5)^2+('[1]output data'!D5/'[1]output data'!C5)^2)^(1/2)</f>
        <v/>
      </c>
      <c r="E2" s="15" t="n"/>
      <c r="F2" s="15" t="n"/>
      <c r="G2" s="15" t="n"/>
      <c r="H2" s="15" t="n"/>
      <c r="I2" s="15" t="n"/>
      <c r="J2" s="15" t="n"/>
    </row>
    <row r="3">
      <c r="A3" s="15">
        <f>'[1]output data'!E6/'[1]output data'!C6</f>
        <v/>
      </c>
      <c r="B3" s="15">
        <f>A3*(('[1]output data'!F6/'[1]output data'!E6)^2+('[1]output data'!D6/'[1]output data'!C6)^2)^(1/2)</f>
        <v/>
      </c>
      <c r="C3" s="15">
        <f>'[1]output data'!K6/'[1]output data'!C6</f>
        <v/>
      </c>
      <c r="D3" s="15">
        <f>C3*(('[1]output data'!L6/'[1]output data'!K6)^2+('[1]output data'!D6/'[1]output data'!C6)^2)^(1/2)</f>
        <v/>
      </c>
      <c r="E3" s="15" t="n"/>
      <c r="F3" s="15" t="n"/>
      <c r="G3" s="15" t="n"/>
      <c r="H3" s="15" t="n"/>
    </row>
    <row r="4">
      <c r="A4" s="15">
        <f>'[1]output data'!E7/'[1]output data'!C7</f>
        <v/>
      </c>
      <c r="B4" s="15">
        <f>A4*(('[1]output data'!F7/'[1]output data'!E7)^2+('[1]output data'!D7/'[1]output data'!C7)^2)^(1/2)</f>
        <v/>
      </c>
      <c r="C4" s="15">
        <f>'[1]output data'!K7/'[1]output data'!C7</f>
        <v/>
      </c>
      <c r="D4" s="15">
        <f>C4*(('[1]output data'!L7/'[1]output data'!K7)^2+('[1]output data'!D7/'[1]output data'!C7)^2)^(1/2)</f>
        <v/>
      </c>
      <c r="E4" s="15" t="n"/>
      <c r="F4" s="15" t="n"/>
      <c r="G4" s="15" t="n"/>
      <c r="H4" s="15" t="n"/>
    </row>
    <row r="5">
      <c r="A5" s="15">
        <f>'[1]output data'!E8/'[1]output data'!C8</f>
        <v/>
      </c>
      <c r="B5" s="15">
        <f>A5*(('[1]output data'!F8/'[1]output data'!E8)^2+('[1]output data'!D8/'[1]output data'!C8)^2)^(1/2)</f>
        <v/>
      </c>
      <c r="C5" s="15">
        <f>'[1]output data'!K8/'[1]output data'!C8</f>
        <v/>
      </c>
      <c r="D5" s="15">
        <f>C5*(('[1]output data'!L8/'[1]output data'!K8)^2+('[1]output data'!D8/'[1]output data'!C8)^2)^(1/2)</f>
        <v/>
      </c>
      <c r="E5" s="15" t="n"/>
      <c r="F5" s="15" t="n"/>
      <c r="G5" s="15" t="n"/>
      <c r="H5" s="15" t="n"/>
    </row>
    <row r="6">
      <c r="A6" s="15">
        <f>'[1]output data'!E9/'[1]output data'!C9</f>
        <v/>
      </c>
      <c r="B6" s="15">
        <f>A6*(('[1]output data'!F9/'[1]output data'!E9)^2+('[1]output data'!D9/'[1]output data'!C9)^2)^(1/2)</f>
        <v/>
      </c>
      <c r="C6" s="15">
        <f>'[1]output data'!K9/'[1]output data'!C9</f>
        <v/>
      </c>
      <c r="D6" s="15">
        <f>C6*(('[1]output data'!L9/'[1]output data'!K9)^2+('[1]output data'!D9/'[1]output data'!C9)^2)^(1/2)</f>
        <v/>
      </c>
      <c r="E6" s="15" t="n"/>
      <c r="F6" s="15" t="n"/>
      <c r="G6" s="15" t="n"/>
      <c r="H6" s="15" t="n"/>
    </row>
    <row r="7">
      <c r="A7" s="15">
        <f>'[1]output data'!E10/'[1]output data'!C10</f>
        <v/>
      </c>
      <c r="B7" s="15">
        <f>A7*(('[1]output data'!F10/'[1]output data'!E10)^2+('[1]output data'!D10/'[1]output data'!C10)^2)^(1/2)</f>
        <v/>
      </c>
      <c r="C7" s="15">
        <f>'[1]output data'!K10/'[1]output data'!C10</f>
        <v/>
      </c>
      <c r="D7" s="15">
        <f>C7*(('[1]output data'!L10/'[1]output data'!K10)^2+('[1]output data'!D10/'[1]output data'!C10)^2)^(1/2)</f>
        <v/>
      </c>
      <c r="E7" s="15" t="n"/>
      <c r="F7" s="15" t="n"/>
      <c r="G7" s="15" t="n"/>
      <c r="H7" s="15" t="n"/>
    </row>
    <row r="8">
      <c r="A8" s="15">
        <f>'[1]output data'!E11/'[1]output data'!C11</f>
        <v/>
      </c>
      <c r="B8" s="15">
        <f>A8*(('[1]output data'!F11/'[1]output data'!E11)^2+('[1]output data'!D11/'[1]output data'!C11)^2)^(1/2)</f>
        <v/>
      </c>
      <c r="C8" s="15">
        <f>'[1]output data'!K11/'[1]output data'!C11</f>
        <v/>
      </c>
      <c r="D8" s="15">
        <f>C8*(('[1]output data'!L11/'[1]output data'!K11)^2+('[1]output data'!D11/'[1]output data'!C11)^2)^(1/2)</f>
        <v/>
      </c>
      <c r="E8" s="15" t="n"/>
      <c r="F8" s="15" t="n"/>
      <c r="G8" s="15" t="n"/>
      <c r="H8" s="15" t="n"/>
    </row>
    <row r="9">
      <c r="A9" s="15">
        <f>'[1]output data'!E12/'[1]output data'!C12</f>
        <v/>
      </c>
      <c r="B9" s="15">
        <f>A9*(('[1]output data'!F12/'[1]output data'!E12)^2+('[1]output data'!D12/'[1]output data'!C12)^2)^(1/2)</f>
        <v/>
      </c>
      <c r="C9" s="15">
        <f>'[1]output data'!K12/'[1]output data'!C12</f>
        <v/>
      </c>
      <c r="D9" s="15">
        <f>C9*(('[1]output data'!L12/'[1]output data'!K12)^2+('[1]output data'!D12/'[1]output data'!C12)^2)^(1/2)</f>
        <v/>
      </c>
      <c r="E9" s="15" t="n"/>
      <c r="F9" s="15" t="n"/>
      <c r="G9" s="15" t="n"/>
      <c r="H9" s="15" t="n"/>
    </row>
    <row r="10">
      <c r="A10" s="15">
        <f>'[1]output data'!E13/'[1]output data'!C13</f>
        <v/>
      </c>
      <c r="B10" s="15">
        <f>A10*(('[1]output data'!F13/'[1]output data'!E13)^2+('[1]output data'!D13/'[1]output data'!C13)^2)^(1/2)</f>
        <v/>
      </c>
      <c r="C10" s="15">
        <f>'[1]output data'!K13/'[1]output data'!C13</f>
        <v/>
      </c>
      <c r="D10" s="15">
        <f>C10*(('[1]output data'!L13/'[1]output data'!K13)^2+('[1]output data'!D13/'[1]output data'!C13)^2)^(1/2)</f>
        <v/>
      </c>
      <c r="E10" s="15" t="n"/>
      <c r="F10" s="15" t="n"/>
      <c r="G10" s="15" t="n"/>
      <c r="H10" s="15" t="n"/>
    </row>
    <row r="11">
      <c r="A11" s="15">
        <f>'[1]output data'!E14/'[1]output data'!C14</f>
        <v/>
      </c>
      <c r="B11" s="15">
        <f>A11*(('[1]output data'!F14/'[1]output data'!E14)^2+('[1]output data'!D14/'[1]output data'!C14)^2)^(1/2)</f>
        <v/>
      </c>
      <c r="C11" s="15">
        <f>'[1]output data'!K14/'[1]output data'!C14</f>
        <v/>
      </c>
      <c r="D11" s="15">
        <f>C11*(('[1]output data'!L14/'[1]output data'!K14)^2+('[1]output data'!D14/'[1]output data'!C14)^2)^(1/2)</f>
        <v/>
      </c>
      <c r="E11" s="15" t="n"/>
      <c r="F11" s="15" t="n"/>
      <c r="G11" s="15" t="n"/>
      <c r="H11" s="15" t="n"/>
    </row>
    <row r="12">
      <c r="A12" s="15">
        <f>'[1]output data'!E15/'[1]output data'!C15</f>
        <v/>
      </c>
      <c r="B12" s="15">
        <f>A12*(('[1]output data'!F15/'[1]output data'!E15)^2+('[1]output data'!D15/'[1]output data'!C15)^2)^(1/2)</f>
        <v/>
      </c>
      <c r="C12" s="15">
        <f>'[1]output data'!K15/'[1]output data'!C15</f>
        <v/>
      </c>
      <c r="D12" s="15">
        <f>C12*(('[1]output data'!L15/'[1]output data'!K15)^2+('[1]output data'!D15/'[1]output data'!C15)^2)^(1/2)</f>
        <v/>
      </c>
      <c r="E12" s="15" t="n"/>
      <c r="F12" s="15" t="n"/>
      <c r="G12" s="15" t="n"/>
      <c r="H12" s="15" t="n"/>
    </row>
    <row r="13">
      <c r="A13" s="15">
        <f>'[1]output data'!E16/'[1]output data'!C16</f>
        <v/>
      </c>
      <c r="B13" s="15">
        <f>A13*(('[1]output data'!F16/'[1]output data'!E16)^2+('[1]output data'!D16/'[1]output data'!C16)^2)^(1/2)</f>
        <v/>
      </c>
      <c r="C13" s="15">
        <f>'[1]output data'!K16/'[1]output data'!C16</f>
        <v/>
      </c>
      <c r="D13" s="15">
        <f>C13*(('[1]output data'!L16/'[1]output data'!K16)^2+('[1]output data'!D16/'[1]output data'!C16)^2)^(1/2)</f>
        <v/>
      </c>
      <c r="E13" s="15" t="n"/>
      <c r="F13" s="15" t="n"/>
      <c r="G13" s="15" t="n"/>
      <c r="H13" s="15" t="n"/>
    </row>
    <row r="14">
      <c r="A14" s="15">
        <f>'[1]output data'!E17/'[1]output data'!C17</f>
        <v/>
      </c>
      <c r="B14" s="15">
        <f>A14*(('[1]output data'!F17/'[1]output data'!E17)^2+('[1]output data'!D17/'[1]output data'!C17)^2)^(1/2)</f>
        <v/>
      </c>
      <c r="C14" s="15">
        <f>'[1]output data'!K17/'[1]output data'!C17</f>
        <v/>
      </c>
      <c r="D14" s="15">
        <f>C14*(('[1]output data'!L17/'[1]output data'!K17)^2+('[1]output data'!D17/'[1]output data'!C17)^2)^(1/2)</f>
        <v/>
      </c>
      <c r="E14" s="15" t="n"/>
      <c r="F14" s="15" t="n"/>
      <c r="G14" s="15" t="n"/>
      <c r="H14" s="15" t="n"/>
    </row>
    <row r="15">
      <c r="A15" s="15">
        <f>'[1]output data'!E18/'[1]output data'!C18</f>
        <v/>
      </c>
      <c r="B15" s="15">
        <f>A15*(('[1]output data'!F18/'[1]output data'!E18)^2+('[1]output data'!D18/'[1]output data'!C18)^2)^(1/2)</f>
        <v/>
      </c>
      <c r="C15" s="15">
        <f>'[1]output data'!K18/'[1]output data'!C18</f>
        <v/>
      </c>
      <c r="D15" s="15">
        <f>C15*(('[1]output data'!L18/'[1]output data'!K18)^2+('[1]output data'!D18/'[1]output data'!C18)^2)^(1/2)</f>
        <v/>
      </c>
      <c r="E15" s="15" t="n"/>
      <c r="F15" s="15" t="n"/>
      <c r="G15" s="15" t="n"/>
      <c r="H15" s="15" t="n"/>
    </row>
    <row r="16">
      <c r="A16" s="15">
        <f>'[1]output data'!E19/'[1]output data'!C19</f>
        <v/>
      </c>
      <c r="B16" s="15">
        <f>A16*(('[1]output data'!F19/'[1]output data'!E19)^2+('[1]output data'!D19/'[1]output data'!C19)^2)^(1/2)</f>
        <v/>
      </c>
      <c r="C16" s="15">
        <f>'[1]output data'!K19/'[1]output data'!C19</f>
        <v/>
      </c>
      <c r="D16" s="15">
        <f>C16*(('[1]output data'!L19/'[1]output data'!K19)^2+('[1]output data'!D19/'[1]output data'!C19)^2)^(1/2)</f>
        <v/>
      </c>
      <c r="E16" s="15" t="n"/>
      <c r="F16" s="15" t="n"/>
      <c r="G16" s="15" t="n"/>
      <c r="H16" s="15" t="n"/>
    </row>
    <row r="17">
      <c r="A17" s="16" t="inlineStr">
        <is>
          <t>使用excel增益集&gt;分析工具箱&gt;資料分析&gt;回歸分析(regression)</t>
        </is>
      </c>
      <c r="E17" s="15" t="n"/>
      <c r="F17" s="15" t="n"/>
      <c r="G17" s="15" t="n"/>
      <c r="H17" s="15" t="n"/>
    </row>
    <row r="22">
      <c r="G22" s="18" t="n"/>
      <c r="H22" s="18" t="n"/>
      <c r="O22" s="18" t="n"/>
      <c r="P22" s="18" t="n"/>
    </row>
    <row r="23">
      <c r="G23" s="19" t="n"/>
      <c r="H23" s="19" t="n"/>
      <c r="O23" s="19" t="n"/>
      <c r="P23" s="19" t="n"/>
    </row>
    <row r="24">
      <c r="G24" s="19" t="n"/>
      <c r="H24" s="19" t="n"/>
      <c r="O24" s="19" t="n"/>
      <c r="P24" s="19" t="n"/>
    </row>
    <row r="25">
      <c r="G25" s="19" t="n"/>
      <c r="H25" s="19" t="n"/>
      <c r="O25" s="19" t="n"/>
      <c r="P25" s="19" t="n"/>
    </row>
    <row r="26">
      <c r="G26" s="19" t="n"/>
      <c r="H26" s="19" t="n"/>
      <c r="O26" s="19" t="n"/>
      <c r="P26" s="19" t="n"/>
    </row>
    <row r="27">
      <c r="G27" s="19" t="n"/>
      <c r="H27" s="19" t="n"/>
      <c r="O27" s="19" t="n"/>
      <c r="P27" s="19" t="n"/>
    </row>
    <row r="30">
      <c r="G30" s="20" t="n"/>
      <c r="H30" s="20" t="n"/>
      <c r="I30" s="20" t="n"/>
      <c r="J30" s="20" t="n"/>
      <c r="K30" s="20" t="n"/>
      <c r="L30" s="20" t="n"/>
      <c r="O30" s="20" t="n"/>
      <c r="P30" s="20" t="n"/>
    </row>
    <row r="31">
      <c r="G31" s="19" t="n"/>
      <c r="H31" s="19" t="n"/>
      <c r="I31" s="19" t="n"/>
      <c r="J31" s="19" t="n"/>
      <c r="K31" s="19" t="n"/>
      <c r="L31" s="19" t="n"/>
      <c r="O31" s="19" t="n"/>
      <c r="P31" s="19" t="n"/>
    </row>
    <row r="32">
      <c r="G32" s="19" t="n"/>
      <c r="H32" s="19" t="n"/>
      <c r="I32" s="19" t="n"/>
      <c r="J32" s="19" t="n"/>
      <c r="K32" s="19" t="n"/>
      <c r="L32" s="19" t="n"/>
      <c r="O32" s="19" t="n"/>
      <c r="P32" s="19" t="n"/>
    </row>
    <row r="33">
      <c r="G33" s="19" t="n"/>
      <c r="H33" s="19" t="n"/>
      <c r="I33" s="19" t="n"/>
      <c r="J33" s="19" t="n"/>
      <c r="K33" s="19" t="n"/>
      <c r="L33" s="19" t="n"/>
      <c r="O33" s="19" t="n"/>
      <c r="P33" s="19" t="n"/>
    </row>
    <row r="35"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</row>
    <row r="36"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</row>
    <row r="37"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</row>
    <row r="43">
      <c r="G43" s="20" t="n"/>
      <c r="H43" s="20" t="n"/>
      <c r="I43" s="20" t="n"/>
      <c r="O43" s="20" t="n"/>
      <c r="P43" s="20" t="n"/>
    </row>
    <row r="44">
      <c r="G44" s="19" t="n"/>
      <c r="H44" s="19" t="n"/>
      <c r="I44" s="19" t="n"/>
      <c r="O44" s="19" t="n"/>
      <c r="P44" s="19" t="n"/>
    </row>
    <row r="45">
      <c r="G45" s="19" t="n"/>
      <c r="H45" s="19" t="n"/>
      <c r="I45" s="19" t="n"/>
      <c r="O45" s="19" t="n"/>
      <c r="P45" s="19" t="n"/>
    </row>
    <row r="46">
      <c r="G46" s="19" t="n"/>
      <c r="H46" s="19" t="n"/>
      <c r="I46" s="19" t="n"/>
      <c r="O46" s="19" t="n"/>
      <c r="P46" s="19" t="n"/>
    </row>
    <row r="47">
      <c r="G47" s="19" t="n"/>
      <c r="H47" s="19" t="n"/>
      <c r="I47" s="19" t="n"/>
      <c r="O47" s="19" t="n"/>
      <c r="P47" s="19" t="n"/>
    </row>
    <row r="48">
      <c r="G48" s="19" t="n"/>
      <c r="H48" s="19" t="n"/>
      <c r="I48" s="19" t="n"/>
      <c r="O48" s="19" t="n"/>
      <c r="P48" s="19" t="n"/>
    </row>
    <row r="49" ht="17.25" customHeight="1" s="122">
      <c r="A49" s="11" t="n"/>
      <c r="B49" s="19" t="n"/>
      <c r="C49" s="19" t="n"/>
      <c r="D49" s="19" t="n"/>
      <c r="F49" s="11" t="n"/>
      <c r="G49" s="19" t="n"/>
      <c r="H49" s="19" t="n"/>
      <c r="I49" s="19" t="n"/>
      <c r="O49" s="19" t="n"/>
      <c r="P49" s="19" t="n"/>
    </row>
    <row r="50">
      <c r="A50" s="21" t="n"/>
      <c r="B50" s="21" t="n"/>
      <c r="C50" s="21" t="n"/>
      <c r="D50" s="21" t="n"/>
      <c r="E50" s="22" t="n"/>
      <c r="F50" s="21" t="n"/>
      <c r="G50" s="21" t="n"/>
      <c r="H50" s="19" t="n"/>
      <c r="I50" s="19" t="n"/>
      <c r="O50" s="19" t="n"/>
      <c r="P50" s="19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19" t="n"/>
      <c r="I51" s="19" t="n"/>
      <c r="O51" s="19" t="n"/>
      <c r="P51" s="19" t="n"/>
    </row>
    <row r="52">
      <c r="A52" s="21" t="n"/>
      <c r="B52" s="21" t="n"/>
      <c r="C52" s="21" t="n"/>
      <c r="D52" s="21" t="n"/>
      <c r="E52" s="22" t="n"/>
      <c r="F52" s="21" t="n"/>
      <c r="G52" s="21" t="n"/>
      <c r="H52" s="19" t="n"/>
      <c r="I52" s="19" t="n"/>
      <c r="O52" s="19" t="n"/>
      <c r="P52" s="19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19" t="n"/>
      <c r="I53" s="19" t="n"/>
      <c r="O53" s="19" t="n"/>
      <c r="P53" s="19" t="n"/>
    </row>
    <row r="54">
      <c r="A54" s="21" t="n"/>
      <c r="B54" s="21" t="n"/>
      <c r="C54" s="21" t="n"/>
      <c r="D54" s="21" t="n"/>
      <c r="E54" s="22" t="n"/>
      <c r="F54" s="21" t="n"/>
      <c r="G54" s="21" t="n"/>
      <c r="H54" s="19" t="n"/>
      <c r="I54" s="19" t="n"/>
      <c r="O54" s="19" t="n"/>
      <c r="P54" s="19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19" t="n"/>
      <c r="I55" s="19" t="n"/>
      <c r="O55" s="19" t="n"/>
      <c r="P55" s="19" t="n"/>
    </row>
    <row r="56">
      <c r="A56" s="21" t="n"/>
      <c r="B56" s="21" t="n"/>
      <c r="C56" s="21" t="n"/>
      <c r="D56" s="21" t="n"/>
      <c r="E56" s="22" t="n"/>
      <c r="F56" s="21" t="n"/>
      <c r="G56" s="21" t="n"/>
      <c r="H56" s="19" t="n"/>
      <c r="I56" s="19" t="n"/>
      <c r="O56" s="19" t="n"/>
      <c r="P56" s="19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19" t="n"/>
      <c r="I57" s="19" t="n"/>
      <c r="O57" s="19" t="n"/>
      <c r="P57" s="19" t="n"/>
    </row>
    <row r="58">
      <c r="A58" s="21" t="n"/>
      <c r="B58" s="21" t="n"/>
      <c r="C58" s="21" t="n"/>
      <c r="D58" s="21" t="n"/>
      <c r="E58" s="22" t="n"/>
      <c r="F58" s="21" t="n"/>
      <c r="G58" s="21" t="n"/>
      <c r="H58" s="19" t="n"/>
      <c r="I58" s="19" t="n"/>
      <c r="O58" s="19" t="n"/>
      <c r="P58" s="19" t="n"/>
    </row>
    <row r="59">
      <c r="A59" s="21" t="n"/>
      <c r="B59" s="21" t="n"/>
      <c r="C59" s="21" t="n"/>
      <c r="D59" s="21" t="n"/>
      <c r="E59" s="22" t="n"/>
      <c r="F59" s="21" t="n"/>
      <c r="G59" s="21" t="n"/>
    </row>
    <row r="60">
      <c r="A60" s="21" t="n"/>
      <c r="B60" s="21" t="n"/>
      <c r="C60" s="21" t="n"/>
      <c r="D60" s="21" t="n"/>
      <c r="E60" s="22" t="n"/>
      <c r="F60" s="21" t="n"/>
      <c r="G60" s="21" t="n"/>
    </row>
    <row r="61">
      <c r="A61" s="21" t="n"/>
      <c r="B61" s="21" t="n"/>
      <c r="C61" s="21" t="n"/>
      <c r="D61" s="21" t="n"/>
      <c r="E61" s="22" t="n"/>
      <c r="F61" s="21" t="n"/>
      <c r="G61" s="21" t="n"/>
    </row>
    <row r="62">
      <c r="A62" s="21" t="n"/>
      <c r="B62" s="21" t="n"/>
      <c r="C62" s="21" t="n"/>
      <c r="D62" s="21" t="n"/>
      <c r="E62" s="22" t="n"/>
      <c r="F62" s="21" t="n"/>
      <c r="G62" s="21" t="n"/>
    </row>
    <row r="63">
      <c r="A63" s="21" t="n"/>
      <c r="B63" s="21" t="n"/>
      <c r="C63" s="21" t="n"/>
      <c r="D63" s="21" t="n"/>
      <c r="E63" s="22" t="n"/>
      <c r="F63" s="21" t="n"/>
      <c r="G63" s="21" t="n"/>
    </row>
    <row r="64">
      <c r="A64" s="21" t="n"/>
      <c r="B64" s="21" t="n"/>
      <c r="C64" s="21" t="n"/>
      <c r="D64" s="21" t="n"/>
      <c r="E64" s="22" t="n"/>
      <c r="F64" s="21" t="n"/>
      <c r="G64" s="2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"/>
  <sheetViews>
    <sheetView topLeftCell="A13" zoomScale="85" zoomScaleNormal="85" workbookViewId="0">
      <selection activeCell="F13" sqref="F13"/>
    </sheetView>
  </sheetViews>
  <sheetFormatPr baseColWidth="8" defaultRowHeight="14.25"/>
  <cols>
    <col width="10.75" bestFit="1" customWidth="1" style="3" min="1" max="1"/>
    <col width="9.875" bestFit="1" customWidth="1" style="3" min="2" max="2"/>
    <col width="9.625" bestFit="1" customWidth="1" style="3" min="3" max="3"/>
    <col width="8.25" bestFit="1" customWidth="1" style="3" min="4" max="5"/>
    <col width="9" customWidth="1" style="3" min="6" max="7"/>
    <col width="9" customWidth="1" style="3" min="8" max="16384"/>
  </cols>
  <sheetData>
    <row r="1" ht="16.5" customHeight="1" s="122">
      <c r="A1" s="1" t="inlineStr">
        <is>
          <t>Age</t>
        </is>
      </c>
      <c r="B1" s="2" t="inlineStr">
        <is>
          <t>s</t>
        </is>
      </c>
      <c r="C1" s="1" t="inlineStr">
        <is>
          <t>cum%39Arm</t>
        </is>
      </c>
      <c r="D1" s="3" t="inlineStr">
        <is>
          <t>upper age</t>
        </is>
      </c>
      <c r="E1" s="3" t="inlineStr">
        <is>
          <t>lower age</t>
        </is>
      </c>
      <c r="F1" s="3" t="inlineStr">
        <is>
          <t>X</t>
        </is>
      </c>
      <c r="G1" s="3" t="inlineStr">
        <is>
          <t>Y</t>
        </is>
      </c>
      <c r="H1" s="3" t="inlineStr">
        <is>
          <t>X</t>
        </is>
      </c>
      <c r="I1" s="3" t="inlineStr">
        <is>
          <t>Y</t>
        </is>
      </c>
      <c r="J1" s="3" t="inlineStr">
        <is>
          <t>X</t>
        </is>
      </c>
      <c r="K1" s="3" t="inlineStr">
        <is>
          <t>Y</t>
        </is>
      </c>
      <c r="L1" s="3" t="inlineStr">
        <is>
          <t>X</t>
        </is>
      </c>
      <c r="M1" s="3" t="inlineStr">
        <is>
          <t>Y</t>
        </is>
      </c>
      <c r="N1" s="3" t="inlineStr">
        <is>
          <t>X</t>
        </is>
      </c>
      <c r="O1" s="3" t="inlineStr">
        <is>
          <t>Y</t>
        </is>
      </c>
      <c r="P1" s="3" t="inlineStr">
        <is>
          <t>X</t>
        </is>
      </c>
      <c r="Q1" s="3" t="inlineStr">
        <is>
          <t>Y</t>
        </is>
      </c>
      <c r="R1" s="3" t="inlineStr">
        <is>
          <t>X</t>
        </is>
      </c>
      <c r="S1" s="3" t="inlineStr">
        <is>
          <t>Y</t>
        </is>
      </c>
    </row>
    <row r="2" ht="16.5" customHeight="1" s="122">
      <c r="A2" s="156" t="n">
        <v>73.17283637180078</v>
      </c>
      <c r="B2" s="156" t="n">
        <v>84.33625506233504</v>
      </c>
      <c r="C2" s="157" t="n">
        <v>0.1404</v>
      </c>
      <c r="D2" s="158">
        <f>A2+B2</f>
        <v/>
      </c>
      <c r="E2" s="158">
        <f>A2-B2</f>
        <v/>
      </c>
      <c r="F2" s="3">
        <f>0</f>
        <v/>
      </c>
      <c r="G2" s="158">
        <f>E2</f>
        <v/>
      </c>
      <c r="H2" s="158">
        <f>0</f>
        <v/>
      </c>
      <c r="I2" s="158">
        <f>D2</f>
        <v/>
      </c>
      <c r="J2" s="158">
        <f>C2</f>
        <v/>
      </c>
      <c r="K2" s="158">
        <f>D2</f>
        <v/>
      </c>
      <c r="L2" s="158">
        <f>C2</f>
        <v/>
      </c>
      <c r="M2" s="158">
        <f>E2</f>
        <v/>
      </c>
      <c r="N2" s="3">
        <f>0</f>
        <v/>
      </c>
      <c r="O2" s="158">
        <f>E2</f>
        <v/>
      </c>
      <c r="P2" s="158">
        <f>C2</f>
        <v/>
      </c>
      <c r="Q2" s="158">
        <f>A2</f>
        <v/>
      </c>
      <c r="R2" s="158">
        <f>C2</f>
        <v/>
      </c>
      <c r="S2" s="158">
        <f>A3</f>
        <v/>
      </c>
      <c r="T2" s="3" t="n">
        <v>1</v>
      </c>
      <c r="V2" s="0">
        <f>C2</f>
        <v/>
      </c>
      <c r="W2" s="0">
        <f>C2</f>
        <v/>
      </c>
      <c r="X2" s="0">
        <f>D2</f>
        <v/>
      </c>
      <c r="Y2" s="0">
        <f>D3</f>
        <v/>
      </c>
      <c r="Z2" s="0">
        <f>C2</f>
        <v/>
      </c>
      <c r="AA2" s="0">
        <f>C2</f>
        <v/>
      </c>
      <c r="AB2" s="0">
        <f>E2</f>
        <v/>
      </c>
      <c r="AC2" s="0">
        <f>E3</f>
        <v/>
      </c>
      <c r="AD2" s="0" t="n">
        <v>0</v>
      </c>
      <c r="AE2" s="0" t="n">
        <v>0</v>
      </c>
      <c r="AF2" s="0">
        <f>C2</f>
        <v/>
      </c>
      <c r="AG2" s="0">
        <f>C2</f>
        <v/>
      </c>
      <c r="AH2" s="0" t="n">
        <v>0</v>
      </c>
      <c r="AI2" s="0">
        <f>E2</f>
        <v/>
      </c>
      <c r="AJ2" s="0">
        <f>D2</f>
        <v/>
      </c>
      <c r="AK2" s="0">
        <f>D2</f>
        <v/>
      </c>
      <c r="AL2" s="0">
        <f>E2</f>
        <v/>
      </c>
      <c r="AM2" s="0">
        <f>E2</f>
        <v/>
      </c>
    </row>
    <row r="3" ht="16.5" customHeight="1" s="122">
      <c r="A3" s="156" t="n">
        <v>9.297403198505457</v>
      </c>
      <c r="B3" s="156" t="n">
        <v>14.8880651634752</v>
      </c>
      <c r="C3" s="157" t="n">
        <v>1.0526</v>
      </c>
      <c r="D3" s="158">
        <f>A3+B3</f>
        <v/>
      </c>
      <c r="E3" s="158">
        <f>A3-B3</f>
        <v/>
      </c>
      <c r="F3" s="158">
        <f>C2</f>
        <v/>
      </c>
      <c r="G3" s="158">
        <f>E3</f>
        <v/>
      </c>
      <c r="H3" s="158">
        <f>C2</f>
        <v/>
      </c>
      <c r="I3" s="158">
        <f>D3</f>
        <v/>
      </c>
      <c r="J3" s="158">
        <f>C3</f>
        <v/>
      </c>
      <c r="K3" s="158">
        <f>D3</f>
        <v/>
      </c>
      <c r="L3" s="158">
        <f>C3</f>
        <v/>
      </c>
      <c r="M3" s="158">
        <f>E3</f>
        <v/>
      </c>
      <c r="N3" s="158">
        <f>C2</f>
        <v/>
      </c>
      <c r="O3" s="158">
        <f>E3</f>
        <v/>
      </c>
      <c r="P3" s="158">
        <f>C3</f>
        <v/>
      </c>
      <c r="Q3" s="158">
        <f>A3</f>
        <v/>
      </c>
      <c r="R3" s="158">
        <f>C3</f>
        <v/>
      </c>
      <c r="S3" s="158">
        <f>A4</f>
        <v/>
      </c>
      <c r="T3" s="3" t="n">
        <v>2</v>
      </c>
      <c r="V3" s="0">
        <f>C3</f>
        <v/>
      </c>
      <c r="W3" s="0">
        <f>C3</f>
        <v/>
      </c>
      <c r="X3" s="0">
        <f>D3</f>
        <v/>
      </c>
      <c r="Y3" s="0">
        <f>D4</f>
        <v/>
      </c>
      <c r="Z3" s="0">
        <f>C3</f>
        <v/>
      </c>
      <c r="AA3" s="0">
        <f>C3</f>
        <v/>
      </c>
      <c r="AB3" s="0">
        <f>E3</f>
        <v/>
      </c>
      <c r="AC3" s="0">
        <f>E4</f>
        <v/>
      </c>
      <c r="AD3" s="0">
        <f>C2</f>
        <v/>
      </c>
      <c r="AE3" s="0">
        <f>C2</f>
        <v/>
      </c>
      <c r="AF3" s="0">
        <f>C3</f>
        <v/>
      </c>
      <c r="AG3" s="0">
        <f>C3</f>
        <v/>
      </c>
      <c r="AH3" s="0">
        <f>C2</f>
        <v/>
      </c>
      <c r="AI3" s="0">
        <f>E3</f>
        <v/>
      </c>
      <c r="AJ3" s="0">
        <f>D3</f>
        <v/>
      </c>
      <c r="AK3" s="0">
        <f>D3</f>
        <v/>
      </c>
      <c r="AL3" s="0">
        <f>E3</f>
        <v/>
      </c>
      <c r="AM3" s="0">
        <f>E3</f>
        <v/>
      </c>
    </row>
    <row r="4" ht="16.5" customHeight="1" s="122">
      <c r="A4" s="156" t="n">
        <v>10.38231468904154</v>
      </c>
      <c r="B4" s="156" t="n">
        <v>2.889323788309411</v>
      </c>
      <c r="C4" s="157" t="n">
        <v>4.3216</v>
      </c>
      <c r="D4" s="158">
        <f>A4+B4</f>
        <v/>
      </c>
      <c r="E4" s="158">
        <f>A4-B4</f>
        <v/>
      </c>
      <c r="F4" s="158">
        <f>C3</f>
        <v/>
      </c>
      <c r="G4" s="158">
        <f>E4</f>
        <v/>
      </c>
      <c r="H4" s="158">
        <f>C3</f>
        <v/>
      </c>
      <c r="I4" s="158">
        <f>D4</f>
        <v/>
      </c>
      <c r="J4" s="158">
        <f>C4</f>
        <v/>
      </c>
      <c r="K4" s="158">
        <f>D4</f>
        <v/>
      </c>
      <c r="L4" s="158">
        <f>C4</f>
        <v/>
      </c>
      <c r="M4" s="158">
        <f>E4</f>
        <v/>
      </c>
      <c r="N4" s="158">
        <f>C3</f>
        <v/>
      </c>
      <c r="O4" s="158">
        <f>E4</f>
        <v/>
      </c>
      <c r="P4" s="158">
        <f>C4</f>
        <v/>
      </c>
      <c r="Q4" s="158">
        <f>A4</f>
        <v/>
      </c>
      <c r="R4" s="158">
        <f>C4</f>
        <v/>
      </c>
      <c r="S4" s="158">
        <f>A5</f>
        <v/>
      </c>
      <c r="T4" s="3" t="n">
        <v>3</v>
      </c>
      <c r="V4" s="0">
        <f>C4</f>
        <v/>
      </c>
      <c r="W4" s="0">
        <f>C4</f>
        <v/>
      </c>
      <c r="X4" s="0">
        <f>D4</f>
        <v/>
      </c>
      <c r="Y4" s="0">
        <f>D5</f>
        <v/>
      </c>
      <c r="Z4" s="0">
        <f>C4</f>
        <v/>
      </c>
      <c r="AA4" s="0">
        <f>C4</f>
        <v/>
      </c>
      <c r="AB4" s="0">
        <f>E4</f>
        <v/>
      </c>
      <c r="AC4" s="0">
        <f>E5</f>
        <v/>
      </c>
      <c r="AD4" s="0">
        <f>C3</f>
        <v/>
      </c>
      <c r="AE4" s="0">
        <f>C3</f>
        <v/>
      </c>
      <c r="AF4" s="0">
        <f>C4</f>
        <v/>
      </c>
      <c r="AG4" s="0">
        <f>C4</f>
        <v/>
      </c>
      <c r="AH4" s="0">
        <f>C3</f>
        <v/>
      </c>
      <c r="AI4" s="0">
        <f>E4</f>
        <v/>
      </c>
      <c r="AJ4" s="0">
        <f>D4</f>
        <v/>
      </c>
      <c r="AK4" s="0">
        <f>D4</f>
        <v/>
      </c>
      <c r="AL4" s="0">
        <f>E4</f>
        <v/>
      </c>
      <c r="AM4" s="0">
        <f>E4</f>
        <v/>
      </c>
    </row>
    <row r="5" ht="16.5" customHeight="1" s="122">
      <c r="A5" s="156" t="n">
        <v>11.09774425873814</v>
      </c>
      <c r="B5" s="156" t="n">
        <v>1.206519865361896</v>
      </c>
      <c r="C5" s="157" t="n">
        <v>13.609</v>
      </c>
      <c r="D5" s="158">
        <f>A5+B5</f>
        <v/>
      </c>
      <c r="E5" s="158">
        <f>A5-B5</f>
        <v/>
      </c>
      <c r="F5" s="158">
        <f>C4</f>
        <v/>
      </c>
      <c r="G5" s="158">
        <f>E5</f>
        <v/>
      </c>
      <c r="H5" s="158">
        <f>C4</f>
        <v/>
      </c>
      <c r="I5" s="158">
        <f>D5</f>
        <v/>
      </c>
      <c r="J5" s="158">
        <f>C5</f>
        <v/>
      </c>
      <c r="K5" s="158">
        <f>D5</f>
        <v/>
      </c>
      <c r="L5" s="158">
        <f>C5</f>
        <v/>
      </c>
      <c r="M5" s="158">
        <f>E5</f>
        <v/>
      </c>
      <c r="N5" s="158">
        <f>C4</f>
        <v/>
      </c>
      <c r="O5" s="158">
        <f>E5</f>
        <v/>
      </c>
      <c r="P5" s="158">
        <f>C5</f>
        <v/>
      </c>
      <c r="Q5" s="158">
        <f>A5</f>
        <v/>
      </c>
      <c r="R5" s="158">
        <f>C5</f>
        <v/>
      </c>
      <c r="S5" s="158">
        <f>A6</f>
        <v/>
      </c>
      <c r="T5" s="3" t="n">
        <v>4</v>
      </c>
      <c r="V5" s="0">
        <f>C5</f>
        <v/>
      </c>
      <c r="W5" s="0">
        <f>C5</f>
        <v/>
      </c>
      <c r="X5" s="0">
        <f>D5</f>
        <v/>
      </c>
      <c r="Y5" s="0">
        <f>D6</f>
        <v/>
      </c>
      <c r="Z5" s="0">
        <f>C5</f>
        <v/>
      </c>
      <c r="AA5" s="0">
        <f>C5</f>
        <v/>
      </c>
      <c r="AB5" s="0">
        <f>E5</f>
        <v/>
      </c>
      <c r="AC5" s="0">
        <f>E6</f>
        <v/>
      </c>
      <c r="AD5" s="0">
        <f>C4</f>
        <v/>
      </c>
      <c r="AE5" s="0">
        <f>C4</f>
        <v/>
      </c>
      <c r="AF5" s="0">
        <f>C5</f>
        <v/>
      </c>
      <c r="AG5" s="0">
        <f>C5</f>
        <v/>
      </c>
      <c r="AH5" s="0">
        <f>C4</f>
        <v/>
      </c>
      <c r="AI5" s="0">
        <f>E5</f>
        <v/>
      </c>
      <c r="AJ5" s="0">
        <f>D5</f>
        <v/>
      </c>
      <c r="AK5" s="0">
        <f>D5</f>
        <v/>
      </c>
      <c r="AL5" s="0">
        <f>E5</f>
        <v/>
      </c>
      <c r="AM5" s="0">
        <f>E5</f>
        <v/>
      </c>
    </row>
    <row r="6" ht="16.5" customHeight="1" s="122">
      <c r="A6" s="156" t="n">
        <v>9.606133170226936</v>
      </c>
      <c r="B6" s="156" t="n">
        <v>0.6815742649011052</v>
      </c>
      <c r="C6" s="157" t="n">
        <v>30.5734</v>
      </c>
      <c r="D6" s="158">
        <f>A6+B6</f>
        <v/>
      </c>
      <c r="E6" s="158">
        <f>A6-B6</f>
        <v/>
      </c>
      <c r="F6" s="158">
        <f>C5</f>
        <v/>
      </c>
      <c r="G6" s="158">
        <f>E6</f>
        <v/>
      </c>
      <c r="H6" s="158">
        <f>C5</f>
        <v/>
      </c>
      <c r="I6" s="158">
        <f>D6</f>
        <v/>
      </c>
      <c r="J6" s="158">
        <f>C6</f>
        <v/>
      </c>
      <c r="K6" s="158">
        <f>D6</f>
        <v/>
      </c>
      <c r="L6" s="158">
        <f>C6</f>
        <v/>
      </c>
      <c r="M6" s="158">
        <f>E6</f>
        <v/>
      </c>
      <c r="N6" s="158">
        <f>C5</f>
        <v/>
      </c>
      <c r="O6" s="158">
        <f>E6</f>
        <v/>
      </c>
      <c r="P6" s="158">
        <f>C6</f>
        <v/>
      </c>
      <c r="Q6" s="158">
        <f>A6</f>
        <v/>
      </c>
      <c r="R6" s="158">
        <f>C6</f>
        <v/>
      </c>
      <c r="S6" s="158">
        <f>A7</f>
        <v/>
      </c>
      <c r="T6" s="3" t="n">
        <v>5</v>
      </c>
      <c r="V6" s="0">
        <f>C6</f>
        <v/>
      </c>
      <c r="W6" s="0">
        <f>C6</f>
        <v/>
      </c>
      <c r="X6" s="0">
        <f>D6</f>
        <v/>
      </c>
      <c r="Y6" s="0">
        <f>D7</f>
        <v/>
      </c>
      <c r="Z6" s="0">
        <f>C6</f>
        <v/>
      </c>
      <c r="AA6" s="0">
        <f>C6</f>
        <v/>
      </c>
      <c r="AB6" s="0">
        <f>E6</f>
        <v/>
      </c>
      <c r="AC6" s="0">
        <f>E7</f>
        <v/>
      </c>
      <c r="AD6" s="0">
        <f>C5</f>
        <v/>
      </c>
      <c r="AE6" s="0">
        <f>C5</f>
        <v/>
      </c>
      <c r="AF6" s="0">
        <f>C6</f>
        <v/>
      </c>
      <c r="AG6" s="0">
        <f>C6</f>
        <v/>
      </c>
      <c r="AH6" s="0">
        <f>C5</f>
        <v/>
      </c>
      <c r="AI6" s="0">
        <f>E6</f>
        <v/>
      </c>
      <c r="AJ6" s="0">
        <f>D6</f>
        <v/>
      </c>
      <c r="AK6" s="0">
        <f>D6</f>
        <v/>
      </c>
      <c r="AL6" s="0">
        <f>E6</f>
        <v/>
      </c>
      <c r="AM6" s="0">
        <f>E6</f>
        <v/>
      </c>
    </row>
    <row r="7" ht="16.5" customHeight="1" s="122">
      <c r="A7" s="156" t="n">
        <v>9.5526068130934</v>
      </c>
      <c r="B7" s="156" t="n">
        <v>0.5067755482557355</v>
      </c>
      <c r="C7" s="157" t="n">
        <v>49.4293</v>
      </c>
      <c r="D7" s="158">
        <f>A7+B7</f>
        <v/>
      </c>
      <c r="E7" s="158">
        <f>A7-B7</f>
        <v/>
      </c>
      <c r="F7" s="158">
        <f>C6</f>
        <v/>
      </c>
      <c r="G7" s="158">
        <f>E7</f>
        <v/>
      </c>
      <c r="H7" s="158">
        <f>C6</f>
        <v/>
      </c>
      <c r="I7" s="158">
        <f>D7</f>
        <v/>
      </c>
      <c r="J7" s="158">
        <f>C7</f>
        <v/>
      </c>
      <c r="K7" s="158">
        <f>D7</f>
        <v/>
      </c>
      <c r="L7" s="158">
        <f>C7</f>
        <v/>
      </c>
      <c r="M7" s="158">
        <f>E7</f>
        <v/>
      </c>
      <c r="N7" s="158">
        <f>C6</f>
        <v/>
      </c>
      <c r="O7" s="158">
        <f>E7</f>
        <v/>
      </c>
      <c r="P7" s="158">
        <f>C7</f>
        <v/>
      </c>
      <c r="Q7" s="158">
        <f>A7</f>
        <v/>
      </c>
      <c r="R7" s="158">
        <f>C7</f>
        <v/>
      </c>
      <c r="S7" s="158">
        <f>A8</f>
        <v/>
      </c>
      <c r="T7" s="3" t="n">
        <v>6</v>
      </c>
      <c r="V7" s="0">
        <f>C7</f>
        <v/>
      </c>
      <c r="W7" s="0">
        <f>C7</f>
        <v/>
      </c>
      <c r="X7" s="0">
        <f>D7</f>
        <v/>
      </c>
      <c r="Y7" s="0">
        <f>D8</f>
        <v/>
      </c>
      <c r="Z7" s="0">
        <f>C7</f>
        <v/>
      </c>
      <c r="AA7" s="0">
        <f>C7</f>
        <v/>
      </c>
      <c r="AB7" s="0">
        <f>E7</f>
        <v/>
      </c>
      <c r="AC7" s="0">
        <f>E8</f>
        <v/>
      </c>
      <c r="AD7" s="0">
        <f>C6</f>
        <v/>
      </c>
      <c r="AE7" s="0">
        <f>C6</f>
        <v/>
      </c>
      <c r="AF7" s="0">
        <f>C7</f>
        <v/>
      </c>
      <c r="AG7" s="0">
        <f>C7</f>
        <v/>
      </c>
      <c r="AH7" s="0">
        <f>C6</f>
        <v/>
      </c>
      <c r="AI7" s="0">
        <f>E7</f>
        <v/>
      </c>
      <c r="AJ7" s="0">
        <f>D7</f>
        <v/>
      </c>
      <c r="AK7" s="0">
        <f>D7</f>
        <v/>
      </c>
      <c r="AL7" s="0">
        <f>E7</f>
        <v/>
      </c>
      <c r="AM7" s="0">
        <f>E7</f>
        <v/>
      </c>
    </row>
    <row r="8" ht="16.5" customHeight="1" s="122">
      <c r="A8" s="156" t="n">
        <v>9.76239727818546</v>
      </c>
      <c r="B8" s="156" t="n">
        <v>0.7786066995167074</v>
      </c>
      <c r="C8" s="157" t="n">
        <v>65.8702</v>
      </c>
      <c r="D8" s="158">
        <f>A8+B8</f>
        <v/>
      </c>
      <c r="E8" s="158">
        <f>A8-B8</f>
        <v/>
      </c>
      <c r="F8" s="158">
        <f>C7</f>
        <v/>
      </c>
      <c r="G8" s="158">
        <f>E8</f>
        <v/>
      </c>
      <c r="H8" s="158">
        <f>C7</f>
        <v/>
      </c>
      <c r="I8" s="158">
        <f>D8</f>
        <v/>
      </c>
      <c r="J8" s="158">
        <f>C8</f>
        <v/>
      </c>
      <c r="K8" s="158">
        <f>D8</f>
        <v/>
      </c>
      <c r="L8" s="158">
        <f>C8</f>
        <v/>
      </c>
      <c r="M8" s="158">
        <f>E8</f>
        <v/>
      </c>
      <c r="N8" s="158">
        <f>C7</f>
        <v/>
      </c>
      <c r="O8" s="158">
        <f>E8</f>
        <v/>
      </c>
      <c r="P8" s="158">
        <f>C8</f>
        <v/>
      </c>
      <c r="Q8" s="158">
        <f>A8</f>
        <v/>
      </c>
      <c r="R8" s="158">
        <f>C8</f>
        <v/>
      </c>
      <c r="S8" s="158">
        <f>A9</f>
        <v/>
      </c>
      <c r="T8" s="3" t="n">
        <v>7</v>
      </c>
      <c r="V8" s="0">
        <f>C8</f>
        <v/>
      </c>
      <c r="W8" s="0">
        <f>C8</f>
        <v/>
      </c>
      <c r="X8" s="0">
        <f>D8</f>
        <v/>
      </c>
      <c r="Y8" s="0">
        <f>D9</f>
        <v/>
      </c>
      <c r="Z8" s="0">
        <f>C8</f>
        <v/>
      </c>
      <c r="AA8" s="0">
        <f>C8</f>
        <v/>
      </c>
      <c r="AB8" s="0">
        <f>E8</f>
        <v/>
      </c>
      <c r="AC8" s="0">
        <f>E9</f>
        <v/>
      </c>
      <c r="AD8" s="0">
        <f>C7</f>
        <v/>
      </c>
      <c r="AE8" s="0">
        <f>C7</f>
        <v/>
      </c>
      <c r="AF8" s="0">
        <f>C8</f>
        <v/>
      </c>
      <c r="AG8" s="0">
        <f>C8</f>
        <v/>
      </c>
      <c r="AH8" s="0">
        <f>C7</f>
        <v/>
      </c>
      <c r="AI8" s="0">
        <f>E8</f>
        <v/>
      </c>
      <c r="AJ8" s="0">
        <f>D8</f>
        <v/>
      </c>
      <c r="AK8" s="0">
        <f>D8</f>
        <v/>
      </c>
      <c r="AL8" s="0">
        <f>E8</f>
        <v/>
      </c>
      <c r="AM8" s="0">
        <f>E8</f>
        <v/>
      </c>
    </row>
    <row r="9" ht="16.5" customHeight="1" s="122">
      <c r="A9" s="156" t="n">
        <v>9.47296232250018</v>
      </c>
      <c r="B9" s="156" t="n">
        <v>0.6560436221139752</v>
      </c>
      <c r="C9" s="157" t="n">
        <v>78.1225</v>
      </c>
      <c r="D9" s="158">
        <f>A9+B9</f>
        <v/>
      </c>
      <c r="E9" s="158">
        <f>A9-B9</f>
        <v/>
      </c>
      <c r="F9" s="158">
        <f>C8</f>
        <v/>
      </c>
      <c r="G9" s="158">
        <f>E9</f>
        <v/>
      </c>
      <c r="H9" s="158">
        <f>C8</f>
        <v/>
      </c>
      <c r="I9" s="158">
        <f>D9</f>
        <v/>
      </c>
      <c r="J9" s="158">
        <f>C9</f>
        <v/>
      </c>
      <c r="K9" s="158">
        <f>D9</f>
        <v/>
      </c>
      <c r="L9" s="158">
        <f>C9</f>
        <v/>
      </c>
      <c r="M9" s="158">
        <f>E9</f>
        <v/>
      </c>
      <c r="N9" s="158">
        <f>C8</f>
        <v/>
      </c>
      <c r="O9" s="158">
        <f>E9</f>
        <v/>
      </c>
      <c r="P9" s="158">
        <f>C9</f>
        <v/>
      </c>
      <c r="Q9" s="158">
        <f>A9</f>
        <v/>
      </c>
      <c r="R9" s="158">
        <f>C9</f>
        <v/>
      </c>
      <c r="S9" s="158">
        <f>A10</f>
        <v/>
      </c>
      <c r="T9" s="3" t="n">
        <v>8</v>
      </c>
      <c r="V9" s="0">
        <f>C9</f>
        <v/>
      </c>
      <c r="W9" s="0">
        <f>C9</f>
        <v/>
      </c>
      <c r="X9" s="0">
        <f>D9</f>
        <v/>
      </c>
      <c r="Y9" s="0">
        <f>D10</f>
        <v/>
      </c>
      <c r="Z9" s="0">
        <f>C9</f>
        <v/>
      </c>
      <c r="AA9" s="0">
        <f>C9</f>
        <v/>
      </c>
      <c r="AB9" s="0">
        <f>E9</f>
        <v/>
      </c>
      <c r="AC9" s="0">
        <f>E10</f>
        <v/>
      </c>
      <c r="AD9" s="0">
        <f>C8</f>
        <v/>
      </c>
      <c r="AE9" s="0">
        <f>C8</f>
        <v/>
      </c>
      <c r="AF9" s="0">
        <f>C9</f>
        <v/>
      </c>
      <c r="AG9" s="0">
        <f>C9</f>
        <v/>
      </c>
      <c r="AH9" s="0">
        <f>C8</f>
        <v/>
      </c>
      <c r="AI9" s="0">
        <f>E9</f>
        <v/>
      </c>
      <c r="AJ9" s="0">
        <f>D9</f>
        <v/>
      </c>
      <c r="AK9" s="0">
        <f>D9</f>
        <v/>
      </c>
      <c r="AL9" s="0">
        <f>E9</f>
        <v/>
      </c>
      <c r="AM9" s="0">
        <f>E9</f>
        <v/>
      </c>
    </row>
    <row r="10" ht="16.5" customHeight="1" s="122">
      <c r="A10" s="156" t="n">
        <v>11.02241515040181</v>
      </c>
      <c r="B10" s="156" t="n">
        <v>1.01796582144992</v>
      </c>
      <c r="C10" s="157" t="n">
        <v>86.5324</v>
      </c>
      <c r="D10" s="158">
        <f>A10+B10</f>
        <v/>
      </c>
      <c r="E10" s="158">
        <f>A10-B10</f>
        <v/>
      </c>
      <c r="F10" s="158">
        <f>C9</f>
        <v/>
      </c>
      <c r="G10" s="158">
        <f>E10</f>
        <v/>
      </c>
      <c r="H10" s="158">
        <f>C9</f>
        <v/>
      </c>
      <c r="I10" s="158">
        <f>D10</f>
        <v/>
      </c>
      <c r="J10" s="158">
        <f>C10</f>
        <v/>
      </c>
      <c r="K10" s="158">
        <f>D10</f>
        <v/>
      </c>
      <c r="L10" s="158">
        <f>C10</f>
        <v/>
      </c>
      <c r="M10" s="158">
        <f>E10</f>
        <v/>
      </c>
      <c r="N10" s="158">
        <f>C9</f>
        <v/>
      </c>
      <c r="O10" s="158">
        <f>E10</f>
        <v/>
      </c>
      <c r="P10" s="158">
        <f>C10</f>
        <v/>
      </c>
      <c r="Q10" s="158">
        <f>A10</f>
        <v/>
      </c>
      <c r="R10" s="158">
        <f>C10</f>
        <v/>
      </c>
      <c r="S10" s="158">
        <f>A11</f>
        <v/>
      </c>
      <c r="T10" s="3" t="n">
        <v>9</v>
      </c>
      <c r="V10" s="0">
        <f>C10</f>
        <v/>
      </c>
      <c r="W10" s="0">
        <f>C10</f>
        <v/>
      </c>
      <c r="X10" s="0">
        <f>D10</f>
        <v/>
      </c>
      <c r="Y10" s="0">
        <f>D11</f>
        <v/>
      </c>
      <c r="Z10" s="0">
        <f>C10</f>
        <v/>
      </c>
      <c r="AA10" s="0">
        <f>C10</f>
        <v/>
      </c>
      <c r="AB10" s="0">
        <f>E10</f>
        <v/>
      </c>
      <c r="AC10" s="0">
        <f>E11</f>
        <v/>
      </c>
      <c r="AD10" s="0">
        <f>C9</f>
        <v/>
      </c>
      <c r="AE10" s="0">
        <f>C9</f>
        <v/>
      </c>
      <c r="AF10" s="0">
        <f>C10</f>
        <v/>
      </c>
      <c r="AG10" s="0">
        <f>C10</f>
        <v/>
      </c>
      <c r="AH10" s="0">
        <f>C9</f>
        <v/>
      </c>
      <c r="AI10" s="0">
        <f>E10</f>
        <v/>
      </c>
      <c r="AJ10" s="0">
        <f>D10</f>
        <v/>
      </c>
      <c r="AK10" s="0">
        <f>D10</f>
        <v/>
      </c>
      <c r="AL10" s="0">
        <f>E10</f>
        <v/>
      </c>
      <c r="AM10" s="0">
        <f>E10</f>
        <v/>
      </c>
    </row>
    <row r="11" ht="16.5" customHeight="1" s="122">
      <c r="A11" s="156" t="n">
        <v>8.805646786630337</v>
      </c>
      <c r="B11" s="156" t="n">
        <v>1.467879444267013</v>
      </c>
      <c r="C11" s="157" t="n">
        <v>91.83669999999999</v>
      </c>
      <c r="D11" s="158">
        <f>A11+B11</f>
        <v/>
      </c>
      <c r="E11" s="158">
        <f>A11-B11</f>
        <v/>
      </c>
      <c r="F11" s="158">
        <f>C10</f>
        <v/>
      </c>
      <c r="G11" s="158">
        <f>E11</f>
        <v/>
      </c>
      <c r="H11" s="158">
        <f>C10</f>
        <v/>
      </c>
      <c r="I11" s="158">
        <f>D11</f>
        <v/>
      </c>
      <c r="J11" s="158">
        <f>C11</f>
        <v/>
      </c>
      <c r="K11" s="158">
        <f>D11</f>
        <v/>
      </c>
      <c r="L11" s="158">
        <f>C11</f>
        <v/>
      </c>
      <c r="M11" s="158">
        <f>E11</f>
        <v/>
      </c>
      <c r="N11" s="158">
        <f>C10</f>
        <v/>
      </c>
      <c r="O11" s="158">
        <f>E11</f>
        <v/>
      </c>
      <c r="P11" s="158">
        <f>C11</f>
        <v/>
      </c>
      <c r="Q11" s="158">
        <f>A11</f>
        <v/>
      </c>
      <c r="R11" s="158">
        <f>C11</f>
        <v/>
      </c>
      <c r="S11" s="158">
        <f>A12</f>
        <v/>
      </c>
      <c r="T11" s="3" t="n">
        <v>10</v>
      </c>
      <c r="V11" s="0">
        <f>C11</f>
        <v/>
      </c>
      <c r="W11" s="0">
        <f>C11</f>
        <v/>
      </c>
      <c r="X11" s="0">
        <f>D11</f>
        <v/>
      </c>
      <c r="Y11" s="0">
        <f>D12</f>
        <v/>
      </c>
      <c r="Z11" s="0">
        <f>C11</f>
        <v/>
      </c>
      <c r="AA11" s="0">
        <f>C11</f>
        <v/>
      </c>
      <c r="AB11" s="0">
        <f>E11</f>
        <v/>
      </c>
      <c r="AC11" s="0">
        <f>E12</f>
        <v/>
      </c>
      <c r="AD11" s="0">
        <f>C10</f>
        <v/>
      </c>
      <c r="AE11" s="0">
        <f>C10</f>
        <v/>
      </c>
      <c r="AF11" s="0">
        <f>C11</f>
        <v/>
      </c>
      <c r="AG11" s="0">
        <f>C11</f>
        <v/>
      </c>
      <c r="AH11" s="0">
        <f>C10</f>
        <v/>
      </c>
      <c r="AI11" s="0">
        <f>E11</f>
        <v/>
      </c>
      <c r="AJ11" s="0">
        <f>D11</f>
        <v/>
      </c>
      <c r="AK11" s="0">
        <f>D11</f>
        <v/>
      </c>
      <c r="AL11" s="0">
        <f>E11</f>
        <v/>
      </c>
      <c r="AM11" s="0">
        <f>E11</f>
        <v/>
      </c>
    </row>
    <row r="12" ht="16.5" customHeight="1" s="122">
      <c r="A12" s="156" t="n">
        <v>9.940469154084646</v>
      </c>
      <c r="B12" s="156" t="n">
        <v>3.405312312102</v>
      </c>
      <c r="C12" s="157" t="n">
        <v>95.1553</v>
      </c>
      <c r="D12" s="158">
        <f>A12+B12</f>
        <v/>
      </c>
      <c r="E12" s="158">
        <f>A12-B12</f>
        <v/>
      </c>
      <c r="F12" s="158">
        <f>C11</f>
        <v/>
      </c>
      <c r="G12" s="158">
        <f>E12</f>
        <v/>
      </c>
      <c r="H12" s="158">
        <f>C11</f>
        <v/>
      </c>
      <c r="I12" s="158">
        <f>D12</f>
        <v/>
      </c>
      <c r="J12" s="158">
        <f>C12</f>
        <v/>
      </c>
      <c r="K12" s="158">
        <f>D12</f>
        <v/>
      </c>
      <c r="L12" s="158">
        <f>C12</f>
        <v/>
      </c>
      <c r="M12" s="158">
        <f>E12</f>
        <v/>
      </c>
      <c r="N12" s="158">
        <f>C11</f>
        <v/>
      </c>
      <c r="O12" s="158">
        <f>E12</f>
        <v/>
      </c>
      <c r="P12" s="158">
        <f>C12</f>
        <v/>
      </c>
      <c r="Q12" s="158">
        <f>A12</f>
        <v/>
      </c>
      <c r="R12" s="158">
        <f>C12</f>
        <v/>
      </c>
      <c r="S12" s="158">
        <f>A13</f>
        <v/>
      </c>
      <c r="T12" s="3" t="n">
        <v>11</v>
      </c>
      <c r="V12" s="0">
        <f>C12</f>
        <v/>
      </c>
      <c r="W12" s="0">
        <f>C12</f>
        <v/>
      </c>
      <c r="X12" s="0">
        <f>D12</f>
        <v/>
      </c>
      <c r="Y12" s="0">
        <f>D13</f>
        <v/>
      </c>
      <c r="Z12" s="0">
        <f>C12</f>
        <v/>
      </c>
      <c r="AA12" s="0">
        <f>C12</f>
        <v/>
      </c>
      <c r="AB12" s="0">
        <f>E12</f>
        <v/>
      </c>
      <c r="AC12" s="0">
        <f>E13</f>
        <v/>
      </c>
      <c r="AD12" s="0">
        <f>C11</f>
        <v/>
      </c>
      <c r="AE12" s="0">
        <f>C11</f>
        <v/>
      </c>
      <c r="AF12" s="0">
        <f>C12</f>
        <v/>
      </c>
      <c r="AG12" s="0">
        <f>C12</f>
        <v/>
      </c>
      <c r="AH12" s="0">
        <f>C11</f>
        <v/>
      </c>
      <c r="AI12" s="0">
        <f>E12</f>
        <v/>
      </c>
      <c r="AJ12" s="0">
        <f>D12</f>
        <v/>
      </c>
      <c r="AK12" s="0">
        <f>D12</f>
        <v/>
      </c>
      <c r="AL12" s="0">
        <f>E12</f>
        <v/>
      </c>
      <c r="AM12" s="0">
        <f>E12</f>
        <v/>
      </c>
    </row>
    <row r="13" ht="16.5" customHeight="1" s="122">
      <c r="A13" s="156" t="n">
        <v>6.351874277409065</v>
      </c>
      <c r="B13" s="156" t="n">
        <v>4.84691361721006</v>
      </c>
      <c r="C13" s="157" t="n">
        <v>97.2773</v>
      </c>
      <c r="D13" s="158">
        <f>A13+B13</f>
        <v/>
      </c>
      <c r="E13" s="158">
        <f>A13-B13</f>
        <v/>
      </c>
      <c r="F13" s="158">
        <f>C12</f>
        <v/>
      </c>
      <c r="G13" s="158">
        <f>E13</f>
        <v/>
      </c>
      <c r="H13" s="158">
        <f>C12</f>
        <v/>
      </c>
      <c r="I13" s="158">
        <f>D13</f>
        <v/>
      </c>
      <c r="J13" s="158">
        <f>C13</f>
        <v/>
      </c>
      <c r="K13" s="158">
        <f>D13</f>
        <v/>
      </c>
      <c r="L13" s="158">
        <f>C13</f>
        <v/>
      </c>
      <c r="M13" s="158">
        <f>E13</f>
        <v/>
      </c>
      <c r="N13" s="158">
        <f>C12</f>
        <v/>
      </c>
      <c r="O13" s="158">
        <f>E13</f>
        <v/>
      </c>
      <c r="P13" s="158">
        <f>C13</f>
        <v/>
      </c>
      <c r="Q13" s="158">
        <f>A13</f>
        <v/>
      </c>
      <c r="R13" s="158">
        <f>C13</f>
        <v/>
      </c>
      <c r="S13" s="158">
        <f>A14</f>
        <v/>
      </c>
      <c r="T13" s="3" t="n">
        <v>12</v>
      </c>
      <c r="V13" s="0">
        <f>C13</f>
        <v/>
      </c>
      <c r="W13" s="0">
        <f>C13</f>
        <v/>
      </c>
      <c r="X13" s="0">
        <f>D13</f>
        <v/>
      </c>
      <c r="Y13" s="0">
        <f>D14</f>
        <v/>
      </c>
      <c r="Z13" s="0">
        <f>C13</f>
        <v/>
      </c>
      <c r="AA13" s="0">
        <f>C13</f>
        <v/>
      </c>
      <c r="AB13" s="0">
        <f>E13</f>
        <v/>
      </c>
      <c r="AC13" s="0">
        <f>E14</f>
        <v/>
      </c>
      <c r="AD13" s="0">
        <f>C12</f>
        <v/>
      </c>
      <c r="AE13" s="0">
        <f>C12</f>
        <v/>
      </c>
      <c r="AF13" s="0">
        <f>C13</f>
        <v/>
      </c>
      <c r="AG13" s="0">
        <f>C13</f>
        <v/>
      </c>
      <c r="AH13" s="0">
        <f>C12</f>
        <v/>
      </c>
      <c r="AI13" s="0">
        <f>E13</f>
        <v/>
      </c>
      <c r="AJ13" s="0">
        <f>D13</f>
        <v/>
      </c>
      <c r="AK13" s="0">
        <f>D13</f>
        <v/>
      </c>
      <c r="AL13" s="0">
        <f>E13</f>
        <v/>
      </c>
      <c r="AM13" s="0">
        <f>E13</f>
        <v/>
      </c>
    </row>
    <row r="14" ht="16.5" customHeight="1" s="122">
      <c r="A14" s="156" t="n">
        <v>16.26271433168652</v>
      </c>
      <c r="B14" s="156" t="n">
        <v>6.732675803994511</v>
      </c>
      <c r="C14" s="157" t="n">
        <v>98.6091</v>
      </c>
      <c r="D14" s="158">
        <f>A14+B14</f>
        <v/>
      </c>
      <c r="E14" s="158">
        <f>A14-B14</f>
        <v/>
      </c>
      <c r="F14" s="158">
        <f>C13</f>
        <v/>
      </c>
      <c r="G14" s="158">
        <f>E14</f>
        <v/>
      </c>
      <c r="H14" s="158">
        <f>C13</f>
        <v/>
      </c>
      <c r="I14" s="158">
        <f>D14</f>
        <v/>
      </c>
      <c r="J14" s="158">
        <f>C14</f>
        <v/>
      </c>
      <c r="K14" s="158">
        <f>D14</f>
        <v/>
      </c>
      <c r="L14" s="158">
        <f>C14</f>
        <v/>
      </c>
      <c r="M14" s="158">
        <f>E14</f>
        <v/>
      </c>
      <c r="N14" s="158">
        <f>C13</f>
        <v/>
      </c>
      <c r="O14" s="158">
        <f>E14</f>
        <v/>
      </c>
      <c r="P14" s="158">
        <f>C14</f>
        <v/>
      </c>
      <c r="Q14" s="158">
        <f>A14</f>
        <v/>
      </c>
      <c r="R14" s="158">
        <f>C14</f>
        <v/>
      </c>
      <c r="S14" s="158">
        <f>A15</f>
        <v/>
      </c>
      <c r="T14" s="3" t="n">
        <v>13</v>
      </c>
      <c r="V14" s="0">
        <f>C14</f>
        <v/>
      </c>
      <c r="W14" s="0">
        <f>C14</f>
        <v/>
      </c>
      <c r="X14" s="0">
        <f>D14</f>
        <v/>
      </c>
      <c r="Y14" s="0">
        <f>D15</f>
        <v/>
      </c>
      <c r="Z14" s="0">
        <f>C14</f>
        <v/>
      </c>
      <c r="AA14" s="0">
        <f>C14</f>
        <v/>
      </c>
      <c r="AB14" s="0">
        <f>E14</f>
        <v/>
      </c>
      <c r="AC14" s="0">
        <f>E15</f>
        <v/>
      </c>
      <c r="AD14" s="0">
        <f>C13</f>
        <v/>
      </c>
      <c r="AE14" s="0">
        <f>C13</f>
        <v/>
      </c>
      <c r="AF14" s="0">
        <f>C14</f>
        <v/>
      </c>
      <c r="AG14" s="0">
        <f>C14</f>
        <v/>
      </c>
      <c r="AH14" s="0">
        <f>C13</f>
        <v/>
      </c>
      <c r="AI14" s="0">
        <f>E14</f>
        <v/>
      </c>
      <c r="AJ14" s="0">
        <f>D14</f>
        <v/>
      </c>
      <c r="AK14" s="0">
        <f>D14</f>
        <v/>
      </c>
      <c r="AL14" s="0">
        <f>E14</f>
        <v/>
      </c>
      <c r="AM14" s="0">
        <f>E14</f>
        <v/>
      </c>
    </row>
    <row r="15" ht="16.5" customHeight="1" s="122">
      <c r="A15" s="156" t="n">
        <v>11.65643437257419</v>
      </c>
      <c r="B15" s="156" t="n">
        <v>12.00788248042939</v>
      </c>
      <c r="C15" s="157" t="n">
        <v>99.4462</v>
      </c>
      <c r="D15" s="158">
        <f>A15+B15</f>
        <v/>
      </c>
      <c r="E15" s="158">
        <f>A15-B15</f>
        <v/>
      </c>
      <c r="F15" s="158">
        <f>C14</f>
        <v/>
      </c>
      <c r="G15" s="158">
        <f>E15</f>
        <v/>
      </c>
      <c r="H15" s="158">
        <f>C14</f>
        <v/>
      </c>
      <c r="I15" s="158">
        <f>D15</f>
        <v/>
      </c>
      <c r="J15" s="158">
        <f>C15</f>
        <v/>
      </c>
      <c r="K15" s="158">
        <f>D15</f>
        <v/>
      </c>
      <c r="L15" s="158">
        <f>C15</f>
        <v/>
      </c>
      <c r="M15" s="158">
        <f>E15</f>
        <v/>
      </c>
      <c r="N15" s="158">
        <f>C14</f>
        <v/>
      </c>
      <c r="O15" s="158">
        <f>E15</f>
        <v/>
      </c>
      <c r="P15" s="158">
        <f>C15</f>
        <v/>
      </c>
      <c r="Q15" s="158">
        <f>A15</f>
        <v/>
      </c>
      <c r="R15" s="158">
        <f>C15</f>
        <v/>
      </c>
      <c r="S15" s="158">
        <f>A16</f>
        <v/>
      </c>
      <c r="T15" s="3" t="n">
        <v>14</v>
      </c>
      <c r="V15" s="0">
        <f>C15</f>
        <v/>
      </c>
      <c r="W15" s="0">
        <f>C15</f>
        <v/>
      </c>
      <c r="X15" s="0">
        <f>D15</f>
        <v/>
      </c>
      <c r="Y15" s="0">
        <f>D16</f>
        <v/>
      </c>
      <c r="Z15" s="0">
        <f>C15</f>
        <v/>
      </c>
      <c r="AA15" s="0">
        <f>C15</f>
        <v/>
      </c>
      <c r="AB15" s="0">
        <f>E15</f>
        <v/>
      </c>
      <c r="AC15" s="0">
        <f>E16</f>
        <v/>
      </c>
      <c r="AD15" s="0">
        <f>C14</f>
        <v/>
      </c>
      <c r="AE15" s="0">
        <f>C14</f>
        <v/>
      </c>
      <c r="AF15" s="0">
        <f>C15</f>
        <v/>
      </c>
      <c r="AG15" s="0">
        <f>C15</f>
        <v/>
      </c>
      <c r="AH15" s="0">
        <f>C14</f>
        <v/>
      </c>
      <c r="AI15" s="0">
        <f>E15</f>
        <v/>
      </c>
      <c r="AJ15" s="0">
        <f>D15</f>
        <v/>
      </c>
      <c r="AK15" s="0">
        <f>D15</f>
        <v/>
      </c>
      <c r="AL15" s="0">
        <f>E15</f>
        <v/>
      </c>
      <c r="AM15" s="0">
        <f>E15</f>
        <v/>
      </c>
    </row>
    <row r="16" ht="16.5" customHeight="1" s="122">
      <c r="A16" s="156" t="n">
        <v>-84.31499318561454</v>
      </c>
      <c r="B16" s="156" t="n">
        <v>16.42486835141498</v>
      </c>
      <c r="C16" s="157" t="n">
        <v>99.99990000000001</v>
      </c>
      <c r="D16" s="158">
        <f>A16+B16</f>
        <v/>
      </c>
      <c r="E16" s="158">
        <f>A16-B16</f>
        <v/>
      </c>
      <c r="F16" s="158">
        <f>C15</f>
        <v/>
      </c>
      <c r="G16" s="158">
        <f>E16</f>
        <v/>
      </c>
      <c r="H16" s="158">
        <f>C15</f>
        <v/>
      </c>
      <c r="I16" s="158">
        <f>D16</f>
        <v/>
      </c>
      <c r="J16" s="158">
        <f>C16</f>
        <v/>
      </c>
      <c r="K16" s="158">
        <f>D16</f>
        <v/>
      </c>
      <c r="L16" s="158">
        <f>C16</f>
        <v/>
      </c>
      <c r="M16" s="158">
        <f>E16</f>
        <v/>
      </c>
      <c r="N16" s="158">
        <f>C15</f>
        <v/>
      </c>
      <c r="O16" s="158">
        <f>E16</f>
        <v/>
      </c>
      <c r="P16" s="158">
        <f>C16</f>
        <v/>
      </c>
      <c r="Q16" s="158">
        <f>A16</f>
        <v/>
      </c>
      <c r="R16" s="158">
        <f>C16</f>
        <v/>
      </c>
      <c r="S16" s="158">
        <f>A16</f>
        <v/>
      </c>
      <c r="T16" s="3" t="n">
        <v>15</v>
      </c>
      <c r="Z16" s="0">
        <f>C15</f>
        <v/>
      </c>
      <c r="AA16" s="0">
        <f>C16</f>
        <v/>
      </c>
      <c r="AB16" s="0">
        <f>A16</f>
        <v/>
      </c>
      <c r="AC16" s="0">
        <f>A16</f>
        <v/>
      </c>
      <c r="AD16" s="0">
        <f>C15</f>
        <v/>
      </c>
      <c r="AE16" s="0">
        <f>C15</f>
        <v/>
      </c>
      <c r="AF16" s="0">
        <f>C16</f>
        <v/>
      </c>
      <c r="AG16" s="0">
        <f>C16</f>
        <v/>
      </c>
      <c r="AH16" s="0">
        <f>C15</f>
        <v/>
      </c>
      <c r="AI16" s="0">
        <f>E16</f>
        <v/>
      </c>
      <c r="AJ16" s="0">
        <f>D16</f>
        <v/>
      </c>
      <c r="AK16" s="0">
        <f>D16</f>
        <v/>
      </c>
      <c r="AL16" s="0">
        <f>E16</f>
        <v/>
      </c>
      <c r="AM16" s="0">
        <f>E16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7"/>
  <sheetViews>
    <sheetView topLeftCell="C9" zoomScaleNormal="100" workbookViewId="0">
      <selection activeCell="R34" sqref="R34"/>
    </sheetView>
  </sheetViews>
  <sheetFormatPr baseColWidth="8" defaultRowHeight="14.25"/>
  <cols>
    <col width="9" customWidth="1" style="7" min="1" max="3"/>
    <col width="9.25" customWidth="1" style="7" min="4" max="4"/>
    <col width="9" customWidth="1" style="7" min="5" max="6"/>
    <col width="9" customWidth="1" style="7" min="7" max="16384"/>
  </cols>
  <sheetData>
    <row r="1">
      <c r="A1" s="4" t="inlineStr">
        <is>
          <t xml:space="preserve">Ca/K </t>
        </is>
      </c>
      <c r="B1" s="4" t="inlineStr">
        <is>
          <t>s</t>
        </is>
      </c>
      <c r="C1" s="5" t="inlineStr">
        <is>
          <t>cum39Ar_m</t>
        </is>
      </c>
      <c r="D1" s="4" t="inlineStr">
        <is>
          <t>upper age</t>
        </is>
      </c>
      <c r="E1" s="4" t="inlineStr">
        <is>
          <t>lower age</t>
        </is>
      </c>
      <c r="F1" s="4" t="inlineStr">
        <is>
          <t>X</t>
        </is>
      </c>
      <c r="G1" s="6" t="inlineStr">
        <is>
          <t>Y</t>
        </is>
      </c>
      <c r="H1" s="4" t="inlineStr">
        <is>
          <t>X</t>
        </is>
      </c>
      <c r="I1" s="6" t="inlineStr">
        <is>
          <t>Y</t>
        </is>
      </c>
      <c r="J1" s="4" t="inlineStr">
        <is>
          <t>X</t>
        </is>
      </c>
      <c r="K1" s="6" t="inlineStr">
        <is>
          <t>Y</t>
        </is>
      </c>
      <c r="L1" s="4" t="inlineStr">
        <is>
          <t>X</t>
        </is>
      </c>
      <c r="M1" s="6" t="inlineStr">
        <is>
          <t>Y</t>
        </is>
      </c>
      <c r="N1" s="4" t="inlineStr">
        <is>
          <t>X</t>
        </is>
      </c>
      <c r="O1" s="6" t="inlineStr">
        <is>
          <t>Y</t>
        </is>
      </c>
      <c r="P1" s="4" t="inlineStr">
        <is>
          <t>X</t>
        </is>
      </c>
      <c r="Q1" s="4" t="inlineStr">
        <is>
          <t>Y</t>
        </is>
      </c>
      <c r="R1" s="4" t="inlineStr">
        <is>
          <t>X</t>
        </is>
      </c>
      <c r="S1" s="4" t="inlineStr">
        <is>
          <t>Y</t>
        </is>
      </c>
    </row>
    <row r="2" ht="16.5" customHeight="1" s="122">
      <c r="A2" s="7">
        <f>'[1]output data'!S5</f>
        <v/>
      </c>
      <c r="B2" s="8">
        <f>'[1]output data'!T5</f>
        <v/>
      </c>
      <c r="C2" s="7">
        <f>'[1]output data'!Y5</f>
        <v/>
      </c>
      <c r="D2" s="159">
        <f>A2+B2</f>
        <v/>
      </c>
      <c r="E2" s="159">
        <f>A2-B2</f>
        <v/>
      </c>
      <c r="F2" s="7" t="n">
        <v>0</v>
      </c>
      <c r="G2" s="160">
        <f>E2</f>
        <v/>
      </c>
      <c r="H2" s="161">
        <f>0</f>
        <v/>
      </c>
      <c r="I2" s="160">
        <f>D2</f>
        <v/>
      </c>
      <c r="J2" s="161">
        <f>C2</f>
        <v/>
      </c>
      <c r="K2" s="160">
        <f>D2</f>
        <v/>
      </c>
      <c r="L2" s="161">
        <f>C2</f>
        <v/>
      </c>
      <c r="M2" s="160">
        <f>E2</f>
        <v/>
      </c>
      <c r="N2" s="7">
        <f>0</f>
        <v/>
      </c>
      <c r="O2" s="160">
        <f>E2</f>
        <v/>
      </c>
      <c r="P2" s="161">
        <f>C2</f>
        <v/>
      </c>
      <c r="Q2" s="161">
        <f>A2</f>
        <v/>
      </c>
      <c r="R2" s="161">
        <f>C2</f>
        <v/>
      </c>
      <c r="S2" s="161">
        <f>A3</f>
        <v/>
      </c>
      <c r="T2" s="7" t="n">
        <v>1</v>
      </c>
      <c r="V2" s="0">
        <f>C2</f>
        <v/>
      </c>
      <c r="W2" s="0">
        <f>C2</f>
        <v/>
      </c>
      <c r="X2" s="0">
        <f>D2</f>
        <v/>
      </c>
      <c r="Y2" s="0">
        <f>D3</f>
        <v/>
      </c>
      <c r="Z2" s="0">
        <f>C2</f>
        <v/>
      </c>
      <c r="AA2" s="0">
        <f>C2</f>
        <v/>
      </c>
      <c r="AB2" s="0">
        <f>E2</f>
        <v/>
      </c>
      <c r="AC2" s="0">
        <f>E3</f>
        <v/>
      </c>
      <c r="AD2" s="0" t="n">
        <v>0</v>
      </c>
      <c r="AE2" s="0" t="n">
        <v>0</v>
      </c>
      <c r="AF2" s="0">
        <f>C2</f>
        <v/>
      </c>
      <c r="AG2" s="0">
        <f>C2</f>
        <v/>
      </c>
      <c r="AH2" s="0" t="n">
        <v>0</v>
      </c>
      <c r="AI2" s="0">
        <f>E2</f>
        <v/>
      </c>
      <c r="AJ2" s="0">
        <f>D2</f>
        <v/>
      </c>
      <c r="AK2" s="0">
        <f>D2</f>
        <v/>
      </c>
      <c r="AL2" s="0">
        <f>E2</f>
        <v/>
      </c>
      <c r="AM2" s="0">
        <f>E2</f>
        <v/>
      </c>
    </row>
    <row r="3" ht="16.5" customHeight="1" s="122">
      <c r="A3" s="7">
        <f>'[1]output data'!S6</f>
        <v/>
      </c>
      <c r="B3" s="8">
        <f>'[1]output data'!T6</f>
        <v/>
      </c>
      <c r="C3" s="7">
        <f>'[1]output data'!Y6</f>
        <v/>
      </c>
      <c r="D3" s="159">
        <f>A3+B3</f>
        <v/>
      </c>
      <c r="E3" s="159">
        <f>A3-B3</f>
        <v/>
      </c>
      <c r="F3" s="7">
        <f>C2</f>
        <v/>
      </c>
      <c r="G3" s="160">
        <f>E3</f>
        <v/>
      </c>
      <c r="H3" s="161">
        <f>C2</f>
        <v/>
      </c>
      <c r="I3" s="160">
        <f>D3</f>
        <v/>
      </c>
      <c r="J3" s="161">
        <f>C3</f>
        <v/>
      </c>
      <c r="K3" s="160">
        <f>D3</f>
        <v/>
      </c>
      <c r="L3" s="161">
        <f>C3</f>
        <v/>
      </c>
      <c r="M3" s="160">
        <f>E3</f>
        <v/>
      </c>
      <c r="N3" s="7">
        <f>C2</f>
        <v/>
      </c>
      <c r="O3" s="160">
        <f>E3</f>
        <v/>
      </c>
      <c r="P3" s="161">
        <f>C3</f>
        <v/>
      </c>
      <c r="Q3" s="161">
        <f>A3</f>
        <v/>
      </c>
      <c r="R3" s="161">
        <f>C3</f>
        <v/>
      </c>
      <c r="S3" s="161">
        <f>A4</f>
        <v/>
      </c>
      <c r="T3" s="7" t="n">
        <v>2</v>
      </c>
      <c r="V3" s="0">
        <f>C3</f>
        <v/>
      </c>
      <c r="W3" s="0">
        <f>C3</f>
        <v/>
      </c>
      <c r="X3" s="0">
        <f>D3</f>
        <v/>
      </c>
      <c r="Y3" s="0">
        <f>D4</f>
        <v/>
      </c>
      <c r="Z3" s="0">
        <f>C3</f>
        <v/>
      </c>
      <c r="AA3" s="0">
        <f>C3</f>
        <v/>
      </c>
      <c r="AB3" s="0">
        <f>E3</f>
        <v/>
      </c>
      <c r="AC3" s="0">
        <f>E4</f>
        <v/>
      </c>
      <c r="AD3" s="0">
        <f>C2</f>
        <v/>
      </c>
      <c r="AE3" s="0">
        <f>C2</f>
        <v/>
      </c>
      <c r="AF3" s="0">
        <f>C3</f>
        <v/>
      </c>
      <c r="AG3" s="0">
        <f>C3</f>
        <v/>
      </c>
      <c r="AH3" s="0">
        <f>C2</f>
        <v/>
      </c>
      <c r="AI3" s="0">
        <f>E3</f>
        <v/>
      </c>
      <c r="AJ3" s="0">
        <f>D3</f>
        <v/>
      </c>
      <c r="AK3" s="0">
        <f>D3</f>
        <v/>
      </c>
      <c r="AL3" s="0">
        <f>E3</f>
        <v/>
      </c>
      <c r="AM3" s="0">
        <f>E3</f>
        <v/>
      </c>
    </row>
    <row r="4" ht="16.5" customHeight="1" s="122">
      <c r="A4" s="7">
        <f>'[1]output data'!S7</f>
        <v/>
      </c>
      <c r="B4" s="8">
        <f>'[1]output data'!T7</f>
        <v/>
      </c>
      <c r="C4" s="7">
        <f>'[1]output data'!Y7</f>
        <v/>
      </c>
      <c r="D4" s="159">
        <f>A4+B4</f>
        <v/>
      </c>
      <c r="E4" s="159">
        <f>A4-B4</f>
        <v/>
      </c>
      <c r="F4" s="7">
        <f>C3</f>
        <v/>
      </c>
      <c r="G4" s="160">
        <f>E4</f>
        <v/>
      </c>
      <c r="H4" s="161">
        <f>C3</f>
        <v/>
      </c>
      <c r="I4" s="160">
        <f>D4</f>
        <v/>
      </c>
      <c r="J4" s="161">
        <f>C4</f>
        <v/>
      </c>
      <c r="K4" s="160">
        <f>D4</f>
        <v/>
      </c>
      <c r="L4" s="161">
        <f>C4</f>
        <v/>
      </c>
      <c r="M4" s="160">
        <f>E4</f>
        <v/>
      </c>
      <c r="N4" s="7">
        <f>C3</f>
        <v/>
      </c>
      <c r="O4" s="160">
        <f>E4</f>
        <v/>
      </c>
      <c r="P4" s="161">
        <f>C4</f>
        <v/>
      </c>
      <c r="Q4" s="161">
        <f>A4</f>
        <v/>
      </c>
      <c r="R4" s="161">
        <f>C4</f>
        <v/>
      </c>
      <c r="S4" s="161">
        <f>A5</f>
        <v/>
      </c>
      <c r="T4" s="7" t="n">
        <v>3</v>
      </c>
      <c r="V4" s="0">
        <f>C4</f>
        <v/>
      </c>
      <c r="W4" s="0">
        <f>C4</f>
        <v/>
      </c>
      <c r="X4" s="0">
        <f>D4</f>
        <v/>
      </c>
      <c r="Y4" s="0">
        <f>D5</f>
        <v/>
      </c>
      <c r="Z4" s="0">
        <f>C4</f>
        <v/>
      </c>
      <c r="AA4" s="0">
        <f>C4</f>
        <v/>
      </c>
      <c r="AB4" s="0">
        <f>E4</f>
        <v/>
      </c>
      <c r="AC4" s="0">
        <f>E5</f>
        <v/>
      </c>
      <c r="AD4" s="0">
        <f>C3</f>
        <v/>
      </c>
      <c r="AE4" s="0">
        <f>C3</f>
        <v/>
      </c>
      <c r="AF4" s="0">
        <f>C4</f>
        <v/>
      </c>
      <c r="AG4" s="0">
        <f>C4</f>
        <v/>
      </c>
      <c r="AH4" s="0">
        <f>C3</f>
        <v/>
      </c>
      <c r="AI4" s="0">
        <f>E4</f>
        <v/>
      </c>
      <c r="AJ4" s="0">
        <f>D4</f>
        <v/>
      </c>
      <c r="AK4" s="0">
        <f>D4</f>
        <v/>
      </c>
      <c r="AL4" s="0">
        <f>E4</f>
        <v/>
      </c>
      <c r="AM4" s="0">
        <f>E4</f>
        <v/>
      </c>
    </row>
    <row r="5" ht="16.5" customHeight="1" s="122">
      <c r="A5" s="7">
        <f>'[1]output data'!S8</f>
        <v/>
      </c>
      <c r="B5" s="8">
        <f>'[1]output data'!T8</f>
        <v/>
      </c>
      <c r="C5" s="7">
        <f>'[1]output data'!Y8</f>
        <v/>
      </c>
      <c r="D5" s="159">
        <f>A5+B5</f>
        <v/>
      </c>
      <c r="E5" s="159">
        <f>A5-B5</f>
        <v/>
      </c>
      <c r="F5" s="7">
        <f>C4</f>
        <v/>
      </c>
      <c r="G5" s="160">
        <f>E5</f>
        <v/>
      </c>
      <c r="H5" s="161">
        <f>C4</f>
        <v/>
      </c>
      <c r="I5" s="160">
        <f>D5</f>
        <v/>
      </c>
      <c r="J5" s="161">
        <f>C5</f>
        <v/>
      </c>
      <c r="K5" s="160">
        <f>D5</f>
        <v/>
      </c>
      <c r="L5" s="161">
        <f>C5</f>
        <v/>
      </c>
      <c r="M5" s="160">
        <f>E5</f>
        <v/>
      </c>
      <c r="N5" s="7">
        <f>C4</f>
        <v/>
      </c>
      <c r="O5" s="160">
        <f>E5</f>
        <v/>
      </c>
      <c r="P5" s="161">
        <f>C5</f>
        <v/>
      </c>
      <c r="Q5" s="161">
        <f>A5</f>
        <v/>
      </c>
      <c r="R5" s="161">
        <f>C5</f>
        <v/>
      </c>
      <c r="S5" s="161">
        <f>A6</f>
        <v/>
      </c>
      <c r="T5" s="7" t="n">
        <v>4</v>
      </c>
      <c r="V5" s="0">
        <f>C5</f>
        <v/>
      </c>
      <c r="W5" s="0">
        <f>C5</f>
        <v/>
      </c>
      <c r="X5" s="0">
        <f>D5</f>
        <v/>
      </c>
      <c r="Y5" s="0">
        <f>D6</f>
        <v/>
      </c>
      <c r="Z5" s="0">
        <f>C5</f>
        <v/>
      </c>
      <c r="AA5" s="0">
        <f>C5</f>
        <v/>
      </c>
      <c r="AB5" s="0">
        <f>E5</f>
        <v/>
      </c>
      <c r="AC5" s="0">
        <f>E6</f>
        <v/>
      </c>
      <c r="AD5" s="0">
        <f>C4</f>
        <v/>
      </c>
      <c r="AE5" s="0">
        <f>C4</f>
        <v/>
      </c>
      <c r="AF5" s="0">
        <f>C5</f>
        <v/>
      </c>
      <c r="AG5" s="0">
        <f>C5</f>
        <v/>
      </c>
      <c r="AH5" s="0">
        <f>C4</f>
        <v/>
      </c>
      <c r="AI5" s="0">
        <f>E5</f>
        <v/>
      </c>
      <c r="AJ5" s="0">
        <f>D5</f>
        <v/>
      </c>
      <c r="AK5" s="0">
        <f>D5</f>
        <v/>
      </c>
      <c r="AL5" s="0">
        <f>E5</f>
        <v/>
      </c>
      <c r="AM5" s="0">
        <f>E5</f>
        <v/>
      </c>
    </row>
    <row r="6" ht="16.5" customHeight="1" s="122">
      <c r="A6" s="7">
        <f>'[1]output data'!S9</f>
        <v/>
      </c>
      <c r="B6" s="8">
        <f>'[1]output data'!T9</f>
        <v/>
      </c>
      <c r="C6" s="7">
        <f>'[1]output data'!Y9</f>
        <v/>
      </c>
      <c r="D6" s="159">
        <f>A6+B6</f>
        <v/>
      </c>
      <c r="E6" s="159">
        <f>A6-B6</f>
        <v/>
      </c>
      <c r="F6" s="7">
        <f>C5</f>
        <v/>
      </c>
      <c r="G6" s="160">
        <f>E6</f>
        <v/>
      </c>
      <c r="H6" s="161">
        <f>C5</f>
        <v/>
      </c>
      <c r="I6" s="160">
        <f>D6</f>
        <v/>
      </c>
      <c r="J6" s="161">
        <f>C6</f>
        <v/>
      </c>
      <c r="K6" s="160">
        <f>D6</f>
        <v/>
      </c>
      <c r="L6" s="161">
        <f>C6</f>
        <v/>
      </c>
      <c r="M6" s="160">
        <f>E6</f>
        <v/>
      </c>
      <c r="N6" s="7">
        <f>C5</f>
        <v/>
      </c>
      <c r="O6" s="160">
        <f>E6</f>
        <v/>
      </c>
      <c r="P6" s="161">
        <f>C6</f>
        <v/>
      </c>
      <c r="Q6" s="161">
        <f>A6</f>
        <v/>
      </c>
      <c r="R6" s="161">
        <f>C6</f>
        <v/>
      </c>
      <c r="S6" s="161">
        <f>A7</f>
        <v/>
      </c>
      <c r="T6" s="7" t="n">
        <v>5</v>
      </c>
      <c r="V6" s="0">
        <f>C6</f>
        <v/>
      </c>
      <c r="W6" s="0">
        <f>C6</f>
        <v/>
      </c>
      <c r="X6" s="0">
        <f>D6</f>
        <v/>
      </c>
      <c r="Y6" s="0">
        <f>D7</f>
        <v/>
      </c>
      <c r="Z6" s="0">
        <f>C6</f>
        <v/>
      </c>
      <c r="AA6" s="0">
        <f>C6</f>
        <v/>
      </c>
      <c r="AB6" s="0">
        <f>E6</f>
        <v/>
      </c>
      <c r="AC6" s="0">
        <f>E7</f>
        <v/>
      </c>
      <c r="AD6" s="0">
        <f>C5</f>
        <v/>
      </c>
      <c r="AE6" s="0">
        <f>C5</f>
        <v/>
      </c>
      <c r="AF6" s="0">
        <f>C6</f>
        <v/>
      </c>
      <c r="AG6" s="0">
        <f>C6</f>
        <v/>
      </c>
      <c r="AH6" s="0">
        <f>C5</f>
        <v/>
      </c>
      <c r="AI6" s="0">
        <f>E6</f>
        <v/>
      </c>
      <c r="AJ6" s="0">
        <f>D6</f>
        <v/>
      </c>
      <c r="AK6" s="0">
        <f>D6</f>
        <v/>
      </c>
      <c r="AL6" s="0">
        <f>E6</f>
        <v/>
      </c>
      <c r="AM6" s="0">
        <f>E6</f>
        <v/>
      </c>
    </row>
    <row r="7" ht="16.5" customHeight="1" s="122">
      <c r="A7" s="7">
        <f>'[1]output data'!S10</f>
        <v/>
      </c>
      <c r="B7" s="8">
        <f>'[1]output data'!T10</f>
        <v/>
      </c>
      <c r="C7" s="7">
        <f>'[1]output data'!Y10</f>
        <v/>
      </c>
      <c r="D7" s="159">
        <f>A7+B7</f>
        <v/>
      </c>
      <c r="E7" s="159">
        <f>A7-B7</f>
        <v/>
      </c>
      <c r="F7" s="7">
        <f>C6</f>
        <v/>
      </c>
      <c r="G7" s="160">
        <f>E7</f>
        <v/>
      </c>
      <c r="H7" s="161">
        <f>C6</f>
        <v/>
      </c>
      <c r="I7" s="160">
        <f>D7</f>
        <v/>
      </c>
      <c r="J7" s="161">
        <f>C7</f>
        <v/>
      </c>
      <c r="K7" s="160">
        <f>D7</f>
        <v/>
      </c>
      <c r="L7" s="161">
        <f>C7</f>
        <v/>
      </c>
      <c r="M7" s="160">
        <f>E7</f>
        <v/>
      </c>
      <c r="N7" s="7">
        <f>C6</f>
        <v/>
      </c>
      <c r="O7" s="160">
        <f>E7</f>
        <v/>
      </c>
      <c r="P7" s="161">
        <f>C7</f>
        <v/>
      </c>
      <c r="Q7" s="161">
        <f>A7</f>
        <v/>
      </c>
      <c r="R7" s="161">
        <f>C7</f>
        <v/>
      </c>
      <c r="S7" s="161">
        <f>A8</f>
        <v/>
      </c>
      <c r="T7" s="7" t="n">
        <v>6</v>
      </c>
      <c r="V7" s="0">
        <f>C7</f>
        <v/>
      </c>
      <c r="W7" s="0">
        <f>C7</f>
        <v/>
      </c>
      <c r="X7" s="0">
        <f>D7</f>
        <v/>
      </c>
      <c r="Y7" s="0">
        <f>D8</f>
        <v/>
      </c>
      <c r="Z7" s="0">
        <f>C7</f>
        <v/>
      </c>
      <c r="AA7" s="0">
        <f>C7</f>
        <v/>
      </c>
      <c r="AB7" s="0">
        <f>E7</f>
        <v/>
      </c>
      <c r="AC7" s="0">
        <f>E8</f>
        <v/>
      </c>
      <c r="AD7" s="0">
        <f>C6</f>
        <v/>
      </c>
      <c r="AE7" s="0">
        <f>C6</f>
        <v/>
      </c>
      <c r="AF7" s="0">
        <f>C7</f>
        <v/>
      </c>
      <c r="AG7" s="0">
        <f>C7</f>
        <v/>
      </c>
      <c r="AH7" s="0">
        <f>C6</f>
        <v/>
      </c>
      <c r="AI7" s="0">
        <f>E7</f>
        <v/>
      </c>
      <c r="AJ7" s="0">
        <f>D7</f>
        <v/>
      </c>
      <c r="AK7" s="0">
        <f>D7</f>
        <v/>
      </c>
      <c r="AL7" s="0">
        <f>E7</f>
        <v/>
      </c>
      <c r="AM7" s="0">
        <f>E7</f>
        <v/>
      </c>
    </row>
    <row r="8" ht="16.5" customHeight="1" s="122">
      <c r="A8" s="7">
        <f>'[1]output data'!S11</f>
        <v/>
      </c>
      <c r="B8" s="8">
        <f>'[1]output data'!T11</f>
        <v/>
      </c>
      <c r="C8" s="7">
        <f>'[1]output data'!Y11</f>
        <v/>
      </c>
      <c r="D8" s="159">
        <f>A8+B8</f>
        <v/>
      </c>
      <c r="E8" s="159">
        <f>A8-B8</f>
        <v/>
      </c>
      <c r="F8" s="7">
        <f>C7</f>
        <v/>
      </c>
      <c r="G8" s="160">
        <f>E8</f>
        <v/>
      </c>
      <c r="H8" s="161">
        <f>C7</f>
        <v/>
      </c>
      <c r="I8" s="160">
        <f>D8</f>
        <v/>
      </c>
      <c r="J8" s="161">
        <f>C8</f>
        <v/>
      </c>
      <c r="K8" s="160">
        <f>D8</f>
        <v/>
      </c>
      <c r="L8" s="161">
        <f>C8</f>
        <v/>
      </c>
      <c r="M8" s="160">
        <f>E8</f>
        <v/>
      </c>
      <c r="N8" s="7">
        <f>C7</f>
        <v/>
      </c>
      <c r="O8" s="160">
        <f>E8</f>
        <v/>
      </c>
      <c r="P8" s="161">
        <f>C8</f>
        <v/>
      </c>
      <c r="Q8" s="161">
        <f>A8</f>
        <v/>
      </c>
      <c r="R8" s="161">
        <f>C8</f>
        <v/>
      </c>
      <c r="S8" s="161">
        <f>A9</f>
        <v/>
      </c>
      <c r="T8" s="7" t="n">
        <v>7</v>
      </c>
      <c r="V8" s="0">
        <f>C8</f>
        <v/>
      </c>
      <c r="W8" s="0">
        <f>C8</f>
        <v/>
      </c>
      <c r="X8" s="0">
        <f>D8</f>
        <v/>
      </c>
      <c r="Y8" s="0">
        <f>D9</f>
        <v/>
      </c>
      <c r="Z8" s="0">
        <f>C8</f>
        <v/>
      </c>
      <c r="AA8" s="0">
        <f>C8</f>
        <v/>
      </c>
      <c r="AB8" s="0">
        <f>E8</f>
        <v/>
      </c>
      <c r="AC8" s="0">
        <f>E9</f>
        <v/>
      </c>
      <c r="AD8" s="0">
        <f>C7</f>
        <v/>
      </c>
      <c r="AE8" s="0">
        <f>C7</f>
        <v/>
      </c>
      <c r="AF8" s="0">
        <f>C8</f>
        <v/>
      </c>
      <c r="AG8" s="0">
        <f>C8</f>
        <v/>
      </c>
      <c r="AH8" s="0">
        <f>C7</f>
        <v/>
      </c>
      <c r="AI8" s="0">
        <f>E8</f>
        <v/>
      </c>
      <c r="AJ8" s="0">
        <f>D8</f>
        <v/>
      </c>
      <c r="AK8" s="0">
        <f>D8</f>
        <v/>
      </c>
      <c r="AL8" s="0">
        <f>E8</f>
        <v/>
      </c>
      <c r="AM8" s="0">
        <f>E8</f>
        <v/>
      </c>
    </row>
    <row r="9" ht="16.5" customHeight="1" s="122">
      <c r="A9" s="7">
        <f>'[1]output data'!S12</f>
        <v/>
      </c>
      <c r="B9" s="8">
        <f>'[1]output data'!T12</f>
        <v/>
      </c>
      <c r="C9" s="7">
        <f>'[1]output data'!Y12</f>
        <v/>
      </c>
      <c r="D9" s="159">
        <f>A9+B9</f>
        <v/>
      </c>
      <c r="E9" s="159">
        <f>A9-B9</f>
        <v/>
      </c>
      <c r="F9" s="7">
        <f>C8</f>
        <v/>
      </c>
      <c r="G9" s="160">
        <f>E9</f>
        <v/>
      </c>
      <c r="H9" s="161">
        <f>C8</f>
        <v/>
      </c>
      <c r="I9" s="160">
        <f>D9</f>
        <v/>
      </c>
      <c r="J9" s="161">
        <f>C9</f>
        <v/>
      </c>
      <c r="K9" s="160">
        <f>D9</f>
        <v/>
      </c>
      <c r="L9" s="161">
        <f>C9</f>
        <v/>
      </c>
      <c r="M9" s="160">
        <f>E9</f>
        <v/>
      </c>
      <c r="N9" s="7">
        <f>C8</f>
        <v/>
      </c>
      <c r="O9" s="160">
        <f>E9</f>
        <v/>
      </c>
      <c r="P9" s="161">
        <f>C9</f>
        <v/>
      </c>
      <c r="Q9" s="161">
        <f>A9</f>
        <v/>
      </c>
      <c r="R9" s="161">
        <f>C9</f>
        <v/>
      </c>
      <c r="S9" s="161">
        <f>A10</f>
        <v/>
      </c>
      <c r="T9" s="7" t="n">
        <v>8</v>
      </c>
      <c r="V9" s="0">
        <f>C9</f>
        <v/>
      </c>
      <c r="W9" s="0">
        <f>C9</f>
        <v/>
      </c>
      <c r="X9" s="0">
        <f>D9</f>
        <v/>
      </c>
      <c r="Y9" s="0">
        <f>D10</f>
        <v/>
      </c>
      <c r="Z9" s="0">
        <f>C9</f>
        <v/>
      </c>
      <c r="AA9" s="0">
        <f>C9</f>
        <v/>
      </c>
      <c r="AB9" s="0">
        <f>E9</f>
        <v/>
      </c>
      <c r="AC9" s="0">
        <f>E10</f>
        <v/>
      </c>
      <c r="AD9" s="0">
        <f>C8</f>
        <v/>
      </c>
      <c r="AE9" s="0">
        <f>C8</f>
        <v/>
      </c>
      <c r="AF9" s="0">
        <f>C9</f>
        <v/>
      </c>
      <c r="AG9" s="0">
        <f>C9</f>
        <v/>
      </c>
      <c r="AH9" s="0">
        <f>C8</f>
        <v/>
      </c>
      <c r="AI9" s="0">
        <f>E9</f>
        <v/>
      </c>
      <c r="AJ9" s="0">
        <f>D9</f>
        <v/>
      </c>
      <c r="AK9" s="0">
        <f>D9</f>
        <v/>
      </c>
      <c r="AL9" s="0">
        <f>E9</f>
        <v/>
      </c>
      <c r="AM9" s="0">
        <f>E9</f>
        <v/>
      </c>
    </row>
    <row r="10" ht="16.5" customHeight="1" s="122">
      <c r="A10" s="7">
        <f>'[1]output data'!S13</f>
        <v/>
      </c>
      <c r="B10" s="8">
        <f>'[1]output data'!T13</f>
        <v/>
      </c>
      <c r="C10" s="7">
        <f>'[1]output data'!Y13</f>
        <v/>
      </c>
      <c r="D10" s="159">
        <f>A10+B10</f>
        <v/>
      </c>
      <c r="E10" s="159">
        <f>A10-B10</f>
        <v/>
      </c>
      <c r="F10" s="7">
        <f>C9</f>
        <v/>
      </c>
      <c r="G10" s="160">
        <f>E10</f>
        <v/>
      </c>
      <c r="H10" s="161">
        <f>C9</f>
        <v/>
      </c>
      <c r="I10" s="160">
        <f>D10</f>
        <v/>
      </c>
      <c r="J10" s="161">
        <f>C10</f>
        <v/>
      </c>
      <c r="K10" s="160">
        <f>D10</f>
        <v/>
      </c>
      <c r="L10" s="161">
        <f>C10</f>
        <v/>
      </c>
      <c r="M10" s="160">
        <f>E10</f>
        <v/>
      </c>
      <c r="N10" s="7">
        <f>C9</f>
        <v/>
      </c>
      <c r="O10" s="160">
        <f>E10</f>
        <v/>
      </c>
      <c r="P10" s="161">
        <f>C10</f>
        <v/>
      </c>
      <c r="Q10" s="161">
        <f>A10</f>
        <v/>
      </c>
      <c r="R10" s="161">
        <f>C10</f>
        <v/>
      </c>
      <c r="S10" s="161">
        <f>A11</f>
        <v/>
      </c>
      <c r="T10" s="7" t="n">
        <v>9</v>
      </c>
      <c r="V10" s="0">
        <f>C10</f>
        <v/>
      </c>
      <c r="W10" s="0">
        <f>C10</f>
        <v/>
      </c>
      <c r="X10" s="0">
        <f>D10</f>
        <v/>
      </c>
      <c r="Y10" s="0">
        <f>D11</f>
        <v/>
      </c>
      <c r="Z10" s="0">
        <f>C10</f>
        <v/>
      </c>
      <c r="AA10" s="0">
        <f>C10</f>
        <v/>
      </c>
      <c r="AB10" s="0">
        <f>E10</f>
        <v/>
      </c>
      <c r="AC10" s="0">
        <f>E11</f>
        <v/>
      </c>
      <c r="AD10" s="0">
        <f>C9</f>
        <v/>
      </c>
      <c r="AE10" s="0">
        <f>C9</f>
        <v/>
      </c>
      <c r="AF10" s="0">
        <f>C10</f>
        <v/>
      </c>
      <c r="AG10" s="0">
        <f>C10</f>
        <v/>
      </c>
      <c r="AH10" s="0">
        <f>C9</f>
        <v/>
      </c>
      <c r="AI10" s="0">
        <f>E10</f>
        <v/>
      </c>
      <c r="AJ10" s="0">
        <f>D10</f>
        <v/>
      </c>
      <c r="AK10" s="0">
        <f>D10</f>
        <v/>
      </c>
      <c r="AL10" s="0">
        <f>E10</f>
        <v/>
      </c>
      <c r="AM10" s="0">
        <f>E10</f>
        <v/>
      </c>
    </row>
    <row r="11" ht="16.5" customHeight="1" s="122">
      <c r="A11" s="7">
        <f>'[1]output data'!S14</f>
        <v/>
      </c>
      <c r="B11" s="8">
        <f>'[1]output data'!T14</f>
        <v/>
      </c>
      <c r="C11" s="7">
        <f>'[1]output data'!Y14</f>
        <v/>
      </c>
      <c r="D11" s="159">
        <f>A11+B11</f>
        <v/>
      </c>
      <c r="E11" s="159">
        <f>A11-B11</f>
        <v/>
      </c>
      <c r="F11" s="7">
        <f>C10</f>
        <v/>
      </c>
      <c r="G11" s="160">
        <f>E11</f>
        <v/>
      </c>
      <c r="H11" s="161">
        <f>C10</f>
        <v/>
      </c>
      <c r="I11" s="160">
        <f>D11</f>
        <v/>
      </c>
      <c r="J11" s="161">
        <f>C11</f>
        <v/>
      </c>
      <c r="K11" s="160">
        <f>D11</f>
        <v/>
      </c>
      <c r="L11" s="161">
        <f>C11</f>
        <v/>
      </c>
      <c r="M11" s="160">
        <f>E11</f>
        <v/>
      </c>
      <c r="N11" s="7">
        <f>C10</f>
        <v/>
      </c>
      <c r="O11" s="160">
        <f>E11</f>
        <v/>
      </c>
      <c r="P11" s="161">
        <f>C11</f>
        <v/>
      </c>
      <c r="Q11" s="161">
        <f>A11</f>
        <v/>
      </c>
      <c r="R11" s="161">
        <f>C11</f>
        <v/>
      </c>
      <c r="S11" s="161">
        <f>A12</f>
        <v/>
      </c>
      <c r="T11" s="7" t="n">
        <v>10</v>
      </c>
      <c r="V11" s="0">
        <f>C11</f>
        <v/>
      </c>
      <c r="W11" s="0">
        <f>C11</f>
        <v/>
      </c>
      <c r="X11" s="0">
        <f>D11</f>
        <v/>
      </c>
      <c r="Y11" s="0">
        <f>D12</f>
        <v/>
      </c>
      <c r="Z11" s="0">
        <f>C11</f>
        <v/>
      </c>
      <c r="AA11" s="0">
        <f>C11</f>
        <v/>
      </c>
      <c r="AB11" s="0">
        <f>E11</f>
        <v/>
      </c>
      <c r="AC11" s="0">
        <f>E12</f>
        <v/>
      </c>
      <c r="AD11" s="0">
        <f>C10</f>
        <v/>
      </c>
      <c r="AE11" s="0">
        <f>C10</f>
        <v/>
      </c>
      <c r="AF11" s="0">
        <f>C11</f>
        <v/>
      </c>
      <c r="AG11" s="0">
        <f>C11</f>
        <v/>
      </c>
      <c r="AH11" s="0">
        <f>C10</f>
        <v/>
      </c>
      <c r="AI11" s="0">
        <f>E11</f>
        <v/>
      </c>
      <c r="AJ11" s="0">
        <f>D11</f>
        <v/>
      </c>
      <c r="AK11" s="0">
        <f>D11</f>
        <v/>
      </c>
      <c r="AL11" s="0">
        <f>E11</f>
        <v/>
      </c>
      <c r="AM11" s="0">
        <f>E11</f>
        <v/>
      </c>
    </row>
    <row r="12" ht="16.5" customHeight="1" s="122">
      <c r="A12" s="7">
        <f>'[1]output data'!S15</f>
        <v/>
      </c>
      <c r="B12" s="8">
        <f>'[1]output data'!T15</f>
        <v/>
      </c>
      <c r="C12" s="7">
        <f>'[1]output data'!Y15</f>
        <v/>
      </c>
      <c r="D12" s="159">
        <f>A12+B12</f>
        <v/>
      </c>
      <c r="E12" s="159">
        <f>A12-B12</f>
        <v/>
      </c>
      <c r="F12" s="7">
        <f>C11</f>
        <v/>
      </c>
      <c r="G12" s="160">
        <f>E12</f>
        <v/>
      </c>
      <c r="H12" s="161">
        <f>C11</f>
        <v/>
      </c>
      <c r="I12" s="160">
        <f>D12</f>
        <v/>
      </c>
      <c r="J12" s="161">
        <f>C12</f>
        <v/>
      </c>
      <c r="K12" s="160">
        <f>D12</f>
        <v/>
      </c>
      <c r="L12" s="161">
        <f>C12</f>
        <v/>
      </c>
      <c r="M12" s="160">
        <f>E12</f>
        <v/>
      </c>
      <c r="N12" s="7">
        <f>C11</f>
        <v/>
      </c>
      <c r="O12" s="160">
        <f>E12</f>
        <v/>
      </c>
      <c r="P12" s="161">
        <f>C12</f>
        <v/>
      </c>
      <c r="Q12" s="161">
        <f>A12</f>
        <v/>
      </c>
      <c r="R12" s="161">
        <f>C12</f>
        <v/>
      </c>
      <c r="S12" s="161">
        <f>A13</f>
        <v/>
      </c>
      <c r="T12" s="7" t="n">
        <v>11</v>
      </c>
      <c r="V12" s="0">
        <f>C12</f>
        <v/>
      </c>
      <c r="W12" s="0">
        <f>C12</f>
        <v/>
      </c>
      <c r="X12" s="0">
        <f>D12</f>
        <v/>
      </c>
      <c r="Y12" s="0">
        <f>D13</f>
        <v/>
      </c>
      <c r="Z12" s="0">
        <f>C12</f>
        <v/>
      </c>
      <c r="AA12" s="0">
        <f>C12</f>
        <v/>
      </c>
      <c r="AB12" s="0">
        <f>E12</f>
        <v/>
      </c>
      <c r="AC12" s="0">
        <f>E13</f>
        <v/>
      </c>
      <c r="AD12" s="0">
        <f>C11</f>
        <v/>
      </c>
      <c r="AE12" s="0">
        <f>C11</f>
        <v/>
      </c>
      <c r="AF12" s="0">
        <f>C12</f>
        <v/>
      </c>
      <c r="AG12" s="0">
        <f>C12</f>
        <v/>
      </c>
      <c r="AH12" s="0">
        <f>C11</f>
        <v/>
      </c>
      <c r="AI12" s="0">
        <f>E12</f>
        <v/>
      </c>
      <c r="AJ12" s="0">
        <f>D12</f>
        <v/>
      </c>
      <c r="AK12" s="0">
        <f>D12</f>
        <v/>
      </c>
      <c r="AL12" s="0">
        <f>E12</f>
        <v/>
      </c>
      <c r="AM12" s="0">
        <f>E12</f>
        <v/>
      </c>
    </row>
    <row r="13" ht="16.5" customHeight="1" s="122">
      <c r="A13" s="7">
        <f>'[1]output data'!S16</f>
        <v/>
      </c>
      <c r="B13" s="8">
        <f>'[1]output data'!T16</f>
        <v/>
      </c>
      <c r="C13" s="7">
        <f>'[1]output data'!Y16</f>
        <v/>
      </c>
      <c r="D13" s="159">
        <f>A13+B13</f>
        <v/>
      </c>
      <c r="E13" s="159">
        <f>A13-B13</f>
        <v/>
      </c>
      <c r="F13" s="7">
        <f>C12</f>
        <v/>
      </c>
      <c r="G13" s="160">
        <f>E13</f>
        <v/>
      </c>
      <c r="H13" s="161">
        <f>C12</f>
        <v/>
      </c>
      <c r="I13" s="160">
        <f>D13</f>
        <v/>
      </c>
      <c r="J13" s="161">
        <f>C13</f>
        <v/>
      </c>
      <c r="K13" s="160">
        <f>D13</f>
        <v/>
      </c>
      <c r="L13" s="161">
        <f>C13</f>
        <v/>
      </c>
      <c r="M13" s="160">
        <f>E13</f>
        <v/>
      </c>
      <c r="N13" s="7">
        <f>C12</f>
        <v/>
      </c>
      <c r="O13" s="160">
        <f>E13</f>
        <v/>
      </c>
      <c r="P13" s="161">
        <f>C13</f>
        <v/>
      </c>
      <c r="Q13" s="161">
        <f>A13</f>
        <v/>
      </c>
      <c r="R13" s="161">
        <f>C13</f>
        <v/>
      </c>
      <c r="S13" s="161">
        <f>A14</f>
        <v/>
      </c>
      <c r="T13" s="7" t="n">
        <v>12</v>
      </c>
      <c r="V13" s="0">
        <f>C13</f>
        <v/>
      </c>
      <c r="W13" s="0">
        <f>C13</f>
        <v/>
      </c>
      <c r="X13" s="0">
        <f>D13</f>
        <v/>
      </c>
      <c r="Y13" s="0">
        <f>D14</f>
        <v/>
      </c>
      <c r="Z13" s="0">
        <f>C13</f>
        <v/>
      </c>
      <c r="AA13" s="0">
        <f>C13</f>
        <v/>
      </c>
      <c r="AB13" s="0">
        <f>E13</f>
        <v/>
      </c>
      <c r="AC13" s="0">
        <f>E14</f>
        <v/>
      </c>
      <c r="AD13" s="0">
        <f>C12</f>
        <v/>
      </c>
      <c r="AE13" s="0">
        <f>C12</f>
        <v/>
      </c>
      <c r="AF13" s="0">
        <f>C13</f>
        <v/>
      </c>
      <c r="AG13" s="0">
        <f>C13</f>
        <v/>
      </c>
      <c r="AH13" s="0">
        <f>C12</f>
        <v/>
      </c>
      <c r="AI13" s="0">
        <f>E13</f>
        <v/>
      </c>
      <c r="AJ13" s="0">
        <f>D13</f>
        <v/>
      </c>
      <c r="AK13" s="0">
        <f>D13</f>
        <v/>
      </c>
      <c r="AL13" s="0">
        <f>E13</f>
        <v/>
      </c>
      <c r="AM13" s="0">
        <f>E13</f>
        <v/>
      </c>
    </row>
    <row r="14" ht="16.5" customHeight="1" s="122">
      <c r="A14" s="7">
        <f>'[1]output data'!S17</f>
        <v/>
      </c>
      <c r="B14" s="8">
        <f>'[1]output data'!T17</f>
        <v/>
      </c>
      <c r="C14" s="7">
        <f>'[1]output data'!Y17</f>
        <v/>
      </c>
      <c r="D14" s="159">
        <f>A14+B14</f>
        <v/>
      </c>
      <c r="E14" s="159">
        <f>A14-B14</f>
        <v/>
      </c>
      <c r="F14" s="7">
        <f>C13</f>
        <v/>
      </c>
      <c r="G14" s="160">
        <f>E14</f>
        <v/>
      </c>
      <c r="H14" s="161">
        <f>C13</f>
        <v/>
      </c>
      <c r="I14" s="160">
        <f>D14</f>
        <v/>
      </c>
      <c r="J14" s="161">
        <f>C14</f>
        <v/>
      </c>
      <c r="K14" s="160">
        <f>D14</f>
        <v/>
      </c>
      <c r="L14" s="161">
        <f>C14</f>
        <v/>
      </c>
      <c r="M14" s="160">
        <f>E14</f>
        <v/>
      </c>
      <c r="N14" s="7">
        <f>C13</f>
        <v/>
      </c>
      <c r="O14" s="160">
        <f>E14</f>
        <v/>
      </c>
      <c r="P14" s="161">
        <f>C14</f>
        <v/>
      </c>
      <c r="Q14" s="161">
        <f>A14</f>
        <v/>
      </c>
      <c r="R14" s="161">
        <f>C14</f>
        <v/>
      </c>
      <c r="S14" s="161">
        <f>A15</f>
        <v/>
      </c>
      <c r="T14" s="7" t="n">
        <v>13</v>
      </c>
      <c r="V14" s="0">
        <f>C14</f>
        <v/>
      </c>
      <c r="W14" s="0">
        <f>C14</f>
        <v/>
      </c>
      <c r="X14" s="0">
        <f>D14</f>
        <v/>
      </c>
      <c r="Y14" s="0">
        <f>D15</f>
        <v/>
      </c>
      <c r="Z14" s="0">
        <f>C14</f>
        <v/>
      </c>
      <c r="AA14" s="0">
        <f>C14</f>
        <v/>
      </c>
      <c r="AB14" s="0">
        <f>E14</f>
        <v/>
      </c>
      <c r="AC14" s="0">
        <f>E15</f>
        <v/>
      </c>
      <c r="AD14" s="0">
        <f>C13</f>
        <v/>
      </c>
      <c r="AE14" s="0">
        <f>C13</f>
        <v/>
      </c>
      <c r="AF14" s="0">
        <f>C14</f>
        <v/>
      </c>
      <c r="AG14" s="0">
        <f>C14</f>
        <v/>
      </c>
      <c r="AH14" s="0">
        <f>C13</f>
        <v/>
      </c>
      <c r="AI14" s="0">
        <f>E14</f>
        <v/>
      </c>
      <c r="AJ14" s="0">
        <f>D14</f>
        <v/>
      </c>
      <c r="AK14" s="0">
        <f>D14</f>
        <v/>
      </c>
      <c r="AL14" s="0">
        <f>E14</f>
        <v/>
      </c>
      <c r="AM14" s="0">
        <f>E14</f>
        <v/>
      </c>
    </row>
    <row r="15" ht="16.5" customHeight="1" s="122">
      <c r="A15" s="7">
        <f>'[1]output data'!S18</f>
        <v/>
      </c>
      <c r="B15" s="8">
        <f>'[1]output data'!T18</f>
        <v/>
      </c>
      <c r="C15" s="7">
        <f>'[1]output data'!Y18</f>
        <v/>
      </c>
      <c r="D15" s="159">
        <f>A15+B15</f>
        <v/>
      </c>
      <c r="E15" s="159">
        <f>A15-B15</f>
        <v/>
      </c>
      <c r="F15" s="7">
        <f>C14</f>
        <v/>
      </c>
      <c r="G15" s="160">
        <f>E15</f>
        <v/>
      </c>
      <c r="H15" s="161">
        <f>C14</f>
        <v/>
      </c>
      <c r="I15" s="160">
        <f>D15</f>
        <v/>
      </c>
      <c r="J15" s="161">
        <f>C15</f>
        <v/>
      </c>
      <c r="K15" s="160">
        <f>D15</f>
        <v/>
      </c>
      <c r="L15" s="161">
        <f>C15</f>
        <v/>
      </c>
      <c r="M15" s="160">
        <f>E15</f>
        <v/>
      </c>
      <c r="N15" s="7">
        <f>C14</f>
        <v/>
      </c>
      <c r="O15" s="160">
        <f>E15</f>
        <v/>
      </c>
      <c r="P15" s="161">
        <f>C15</f>
        <v/>
      </c>
      <c r="Q15" s="161">
        <f>A15</f>
        <v/>
      </c>
      <c r="R15" s="161">
        <f>C15</f>
        <v/>
      </c>
      <c r="S15" s="161">
        <f>A16</f>
        <v/>
      </c>
      <c r="T15" s="7" t="n">
        <v>14</v>
      </c>
      <c r="V15" s="0">
        <f>C15</f>
        <v/>
      </c>
      <c r="W15" s="0">
        <f>C15</f>
        <v/>
      </c>
      <c r="X15" s="0">
        <f>D15</f>
        <v/>
      </c>
      <c r="Y15" s="0">
        <f>D16</f>
        <v/>
      </c>
      <c r="Z15" s="0">
        <f>C15</f>
        <v/>
      </c>
      <c r="AA15" s="0">
        <f>C15</f>
        <v/>
      </c>
      <c r="AB15" s="0">
        <f>E15</f>
        <v/>
      </c>
      <c r="AC15" s="0">
        <f>E16</f>
        <v/>
      </c>
      <c r="AD15" s="0">
        <f>C14</f>
        <v/>
      </c>
      <c r="AE15" s="0">
        <f>C14</f>
        <v/>
      </c>
      <c r="AF15" s="0">
        <f>C15</f>
        <v/>
      </c>
      <c r="AG15" s="0">
        <f>C15</f>
        <v/>
      </c>
      <c r="AH15" s="0">
        <f>C14</f>
        <v/>
      </c>
      <c r="AI15" s="0">
        <f>E15</f>
        <v/>
      </c>
      <c r="AJ15" s="0">
        <f>D15</f>
        <v/>
      </c>
      <c r="AK15" s="0">
        <f>D15</f>
        <v/>
      </c>
      <c r="AL15" s="0">
        <f>E15</f>
        <v/>
      </c>
      <c r="AM15" s="0">
        <f>E15</f>
        <v/>
      </c>
    </row>
    <row r="16" ht="16.5" customHeight="1" s="122">
      <c r="A16" s="7">
        <f>'[1]output data'!S19</f>
        <v/>
      </c>
      <c r="B16" s="8">
        <f>'[1]output data'!T19</f>
        <v/>
      </c>
      <c r="C16" s="7">
        <f>'[1]output data'!Y19</f>
        <v/>
      </c>
      <c r="D16" s="159">
        <f>A16+B16</f>
        <v/>
      </c>
      <c r="E16" s="159">
        <f>A16-B16</f>
        <v/>
      </c>
      <c r="F16" s="7">
        <f>C15</f>
        <v/>
      </c>
      <c r="G16" s="160">
        <f>E16</f>
        <v/>
      </c>
      <c r="H16" s="161">
        <f>C15</f>
        <v/>
      </c>
      <c r="I16" s="160">
        <f>D16</f>
        <v/>
      </c>
      <c r="J16" s="161">
        <f>C16</f>
        <v/>
      </c>
      <c r="K16" s="160">
        <f>D16</f>
        <v/>
      </c>
      <c r="L16" s="161">
        <f>C16</f>
        <v/>
      </c>
      <c r="M16" s="160">
        <f>E16</f>
        <v/>
      </c>
      <c r="N16" s="7">
        <f>C15</f>
        <v/>
      </c>
      <c r="O16" s="160">
        <f>E16</f>
        <v/>
      </c>
      <c r="P16" s="161">
        <f>C16</f>
        <v/>
      </c>
      <c r="Q16" s="161">
        <f>A16</f>
        <v/>
      </c>
      <c r="R16" s="161">
        <f>C16</f>
        <v/>
      </c>
      <c r="S16" s="161">
        <f>A16</f>
        <v/>
      </c>
      <c r="T16" s="7" t="n">
        <v>15</v>
      </c>
      <c r="Z16" s="0">
        <f>C15</f>
        <v/>
      </c>
      <c r="AA16" s="0">
        <f>C16</f>
        <v/>
      </c>
      <c r="AB16" s="0">
        <f>A16</f>
        <v/>
      </c>
      <c r="AC16" s="0">
        <f>A16</f>
        <v/>
      </c>
      <c r="AD16" s="0">
        <f>C15</f>
        <v/>
      </c>
      <c r="AE16" s="0">
        <f>C15</f>
        <v/>
      </c>
      <c r="AF16" s="0">
        <f>C16</f>
        <v/>
      </c>
      <c r="AG16" s="0">
        <f>C16</f>
        <v/>
      </c>
      <c r="AH16" s="0">
        <f>C15</f>
        <v/>
      </c>
      <c r="AI16" s="0">
        <f>E16</f>
        <v/>
      </c>
      <c r="AJ16" s="0">
        <f>D16</f>
        <v/>
      </c>
      <c r="AK16" s="0">
        <f>D16</f>
        <v/>
      </c>
      <c r="AL16" s="0">
        <f>E16</f>
        <v/>
      </c>
      <c r="AM16" s="0">
        <f>E16</f>
        <v/>
      </c>
    </row>
    <row r="17">
      <c r="G17" s="9" t="inlineStr">
        <is>
          <t>左下</t>
        </is>
      </c>
      <c r="I17" s="10" t="inlineStr">
        <is>
          <t>左上</t>
        </is>
      </c>
      <c r="K17" s="10" t="inlineStr">
        <is>
          <t>右上</t>
        </is>
      </c>
      <c r="M17" s="10" t="inlineStr">
        <is>
          <t>右下</t>
        </is>
      </c>
      <c r="O17" s="10" t="inlineStr">
        <is>
          <t>左下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7"/>
  <sheetViews>
    <sheetView zoomScale="55" zoomScaleNormal="55" workbookViewId="0">
      <selection activeCell="AJ38" sqref="AJ38"/>
    </sheetView>
  </sheetViews>
  <sheetFormatPr baseColWidth="8" defaultRowHeight="14.25"/>
  <cols>
    <col width="9" customWidth="1" style="7" min="1" max="3"/>
    <col width="9.25" customWidth="1" style="7" min="4" max="4"/>
    <col width="9" customWidth="1" style="7" min="5" max="6"/>
    <col width="9" customWidth="1" style="7" min="7" max="16384"/>
  </cols>
  <sheetData>
    <row r="1">
      <c r="A1" s="4" t="inlineStr">
        <is>
          <t xml:space="preserve">Ca/K </t>
        </is>
      </c>
      <c r="B1" s="4" t="inlineStr">
        <is>
          <t>s</t>
        </is>
      </c>
      <c r="C1" s="5" t="inlineStr">
        <is>
          <t>cum39Ar_m</t>
        </is>
      </c>
      <c r="D1" s="4" t="inlineStr">
        <is>
          <t>upper age</t>
        </is>
      </c>
      <c r="E1" s="4" t="inlineStr">
        <is>
          <t>lower age</t>
        </is>
      </c>
      <c r="F1" s="4" t="inlineStr">
        <is>
          <t>X</t>
        </is>
      </c>
      <c r="G1" s="6" t="inlineStr">
        <is>
          <t>Y</t>
        </is>
      </c>
      <c r="H1" s="4" t="inlineStr">
        <is>
          <t>X</t>
        </is>
      </c>
      <c r="I1" s="6" t="inlineStr">
        <is>
          <t>Y</t>
        </is>
      </c>
      <c r="J1" s="4" t="inlineStr">
        <is>
          <t>X</t>
        </is>
      </c>
      <c r="K1" s="6" t="inlineStr">
        <is>
          <t>Y</t>
        </is>
      </c>
      <c r="L1" s="4" t="inlineStr">
        <is>
          <t>X</t>
        </is>
      </c>
      <c r="M1" s="6" t="inlineStr">
        <is>
          <t>Y</t>
        </is>
      </c>
      <c r="N1" s="4" t="inlineStr">
        <is>
          <t>X</t>
        </is>
      </c>
      <c r="O1" s="6" t="inlineStr">
        <is>
          <t>Y</t>
        </is>
      </c>
      <c r="P1" s="4" t="inlineStr">
        <is>
          <t>X</t>
        </is>
      </c>
      <c r="Q1" s="4" t="inlineStr">
        <is>
          <t>Y</t>
        </is>
      </c>
      <c r="R1" s="4" t="inlineStr">
        <is>
          <t>X</t>
        </is>
      </c>
      <c r="S1" s="4" t="inlineStr">
        <is>
          <t>Y</t>
        </is>
      </c>
    </row>
    <row r="2" ht="16.5" customHeight="1" s="122">
      <c r="A2" s="7">
        <f>'[1]output data'!S5</f>
        <v/>
      </c>
      <c r="B2" s="8">
        <f>'[1]output data'!T5</f>
        <v/>
      </c>
      <c r="C2" s="7">
        <f>'[1]output data'!Y5</f>
        <v/>
      </c>
      <c r="D2" s="159">
        <f>A2+B2</f>
        <v/>
      </c>
      <c r="E2" s="159">
        <f>A2-B2</f>
        <v/>
      </c>
      <c r="F2" s="7" t="n">
        <v>0</v>
      </c>
      <c r="G2" s="160">
        <f>E2</f>
        <v/>
      </c>
      <c r="H2" s="161">
        <f>0</f>
        <v/>
      </c>
      <c r="I2" s="160">
        <f>D2</f>
        <v/>
      </c>
      <c r="J2" s="161">
        <f>C2</f>
        <v/>
      </c>
      <c r="K2" s="160">
        <f>D2</f>
        <v/>
      </c>
      <c r="L2" s="161">
        <f>C2</f>
        <v/>
      </c>
      <c r="M2" s="160">
        <f>E2</f>
        <v/>
      </c>
      <c r="N2" s="7">
        <f>0</f>
        <v/>
      </c>
      <c r="O2" s="160">
        <f>E2</f>
        <v/>
      </c>
      <c r="P2" s="161">
        <f>C2</f>
        <v/>
      </c>
      <c r="Q2" s="161">
        <f>A2</f>
        <v/>
      </c>
      <c r="R2" s="161">
        <f>C2</f>
        <v/>
      </c>
      <c r="S2" s="161">
        <f>A3</f>
        <v/>
      </c>
      <c r="T2" s="7" t="n">
        <v>1</v>
      </c>
      <c r="V2" s="0">
        <f>C2</f>
        <v/>
      </c>
      <c r="W2" s="0">
        <f>C2</f>
        <v/>
      </c>
      <c r="X2" s="0">
        <f>D2</f>
        <v/>
      </c>
      <c r="Y2" s="0">
        <f>D3</f>
        <v/>
      </c>
      <c r="Z2" s="0">
        <f>C2</f>
        <v/>
      </c>
      <c r="AA2" s="0">
        <f>C2</f>
        <v/>
      </c>
      <c r="AB2" s="0">
        <f>E2</f>
        <v/>
      </c>
      <c r="AC2" s="0">
        <f>E3</f>
        <v/>
      </c>
      <c r="AD2" s="0" t="n">
        <v>0</v>
      </c>
      <c r="AE2" s="0" t="n">
        <v>0</v>
      </c>
      <c r="AF2" s="0">
        <f>C2</f>
        <v/>
      </c>
      <c r="AG2" s="0">
        <f>C2</f>
        <v/>
      </c>
      <c r="AH2" s="0" t="n">
        <v>0</v>
      </c>
      <c r="AI2" s="0">
        <f>E2</f>
        <v/>
      </c>
      <c r="AJ2" s="0">
        <f>D2</f>
        <v/>
      </c>
      <c r="AK2" s="0">
        <f>D2</f>
        <v/>
      </c>
      <c r="AL2" s="0">
        <f>E2</f>
        <v/>
      </c>
      <c r="AM2" s="0">
        <f>E2</f>
        <v/>
      </c>
    </row>
    <row r="3" ht="16.5" customHeight="1" s="122">
      <c r="A3" s="7">
        <f>'[1]output data'!S6</f>
        <v/>
      </c>
      <c r="B3" s="8">
        <f>'[1]output data'!T6</f>
        <v/>
      </c>
      <c r="C3" s="7">
        <f>'[1]output data'!Y6</f>
        <v/>
      </c>
      <c r="D3" s="159">
        <f>A3+B3</f>
        <v/>
      </c>
      <c r="E3" s="159">
        <f>A3-B3</f>
        <v/>
      </c>
      <c r="F3" s="7">
        <f>C2</f>
        <v/>
      </c>
      <c r="G3" s="160">
        <f>E3</f>
        <v/>
      </c>
      <c r="H3" s="161">
        <f>C2</f>
        <v/>
      </c>
      <c r="I3" s="160">
        <f>D3</f>
        <v/>
      </c>
      <c r="J3" s="161">
        <f>C3</f>
        <v/>
      </c>
      <c r="K3" s="160">
        <f>D3</f>
        <v/>
      </c>
      <c r="L3" s="161">
        <f>C3</f>
        <v/>
      </c>
      <c r="M3" s="160">
        <f>E3</f>
        <v/>
      </c>
      <c r="N3" s="7">
        <f>C2</f>
        <v/>
      </c>
      <c r="O3" s="160">
        <f>E3</f>
        <v/>
      </c>
      <c r="P3" s="161">
        <f>C3</f>
        <v/>
      </c>
      <c r="Q3" s="161">
        <f>A3</f>
        <v/>
      </c>
      <c r="R3" s="161">
        <f>C3</f>
        <v/>
      </c>
      <c r="S3" s="161">
        <f>A4</f>
        <v/>
      </c>
      <c r="T3" s="7" t="n">
        <v>2</v>
      </c>
      <c r="V3" s="0">
        <f>C3</f>
        <v/>
      </c>
      <c r="W3" s="0">
        <f>C3</f>
        <v/>
      </c>
      <c r="X3" s="0">
        <f>D3</f>
        <v/>
      </c>
      <c r="Y3" s="0">
        <f>D4</f>
        <v/>
      </c>
      <c r="Z3" s="0">
        <f>C3</f>
        <v/>
      </c>
      <c r="AA3" s="0">
        <f>C3</f>
        <v/>
      </c>
      <c r="AB3" s="0">
        <f>E3</f>
        <v/>
      </c>
      <c r="AC3" s="0">
        <f>E4</f>
        <v/>
      </c>
      <c r="AD3" s="0">
        <f>C2</f>
        <v/>
      </c>
      <c r="AE3" s="0">
        <f>C2</f>
        <v/>
      </c>
      <c r="AF3" s="0">
        <f>C3</f>
        <v/>
      </c>
      <c r="AG3" s="0">
        <f>C3</f>
        <v/>
      </c>
      <c r="AH3" s="0">
        <f>C2</f>
        <v/>
      </c>
      <c r="AI3" s="0">
        <f>E3</f>
        <v/>
      </c>
      <c r="AJ3" s="0">
        <f>D3</f>
        <v/>
      </c>
      <c r="AK3" s="0">
        <f>D3</f>
        <v/>
      </c>
      <c r="AL3" s="0">
        <f>E3</f>
        <v/>
      </c>
      <c r="AM3" s="0">
        <f>E3</f>
        <v/>
      </c>
    </row>
    <row r="4" ht="16.5" customHeight="1" s="122">
      <c r="A4" s="7">
        <f>'[1]output data'!S7</f>
        <v/>
      </c>
      <c r="B4" s="8">
        <f>'[1]output data'!T7</f>
        <v/>
      </c>
      <c r="C4" s="7">
        <f>'[1]output data'!Y7</f>
        <v/>
      </c>
      <c r="D4" s="159">
        <f>A4+B4</f>
        <v/>
      </c>
      <c r="E4" s="159">
        <f>A4-B4</f>
        <v/>
      </c>
      <c r="F4" s="7">
        <f>C3</f>
        <v/>
      </c>
      <c r="G4" s="160">
        <f>E4</f>
        <v/>
      </c>
      <c r="H4" s="161">
        <f>C3</f>
        <v/>
      </c>
      <c r="I4" s="160">
        <f>D4</f>
        <v/>
      </c>
      <c r="J4" s="161">
        <f>C4</f>
        <v/>
      </c>
      <c r="K4" s="160">
        <f>D4</f>
        <v/>
      </c>
      <c r="L4" s="161">
        <f>C4</f>
        <v/>
      </c>
      <c r="M4" s="160">
        <f>E4</f>
        <v/>
      </c>
      <c r="N4" s="7">
        <f>C3</f>
        <v/>
      </c>
      <c r="O4" s="160">
        <f>E4</f>
        <v/>
      </c>
      <c r="P4" s="161">
        <f>C4</f>
        <v/>
      </c>
      <c r="Q4" s="161">
        <f>A4</f>
        <v/>
      </c>
      <c r="R4" s="161">
        <f>C4</f>
        <v/>
      </c>
      <c r="S4" s="161">
        <f>A5</f>
        <v/>
      </c>
      <c r="T4" s="7" t="n">
        <v>3</v>
      </c>
      <c r="V4" s="0">
        <f>C4</f>
        <v/>
      </c>
      <c r="W4" s="0">
        <f>C4</f>
        <v/>
      </c>
      <c r="X4" s="0">
        <f>D4</f>
        <v/>
      </c>
      <c r="Y4" s="0">
        <f>D5</f>
        <v/>
      </c>
      <c r="Z4" s="0">
        <f>C4</f>
        <v/>
      </c>
      <c r="AA4" s="0">
        <f>C4</f>
        <v/>
      </c>
      <c r="AB4" s="0">
        <f>E4</f>
        <v/>
      </c>
      <c r="AC4" s="0">
        <f>E5</f>
        <v/>
      </c>
      <c r="AD4" s="0">
        <f>C3</f>
        <v/>
      </c>
      <c r="AE4" s="0">
        <f>C3</f>
        <v/>
      </c>
      <c r="AF4" s="0">
        <f>C4</f>
        <v/>
      </c>
      <c r="AG4" s="0">
        <f>C4</f>
        <v/>
      </c>
      <c r="AH4" s="0">
        <f>C3</f>
        <v/>
      </c>
      <c r="AI4" s="0">
        <f>E4</f>
        <v/>
      </c>
      <c r="AJ4" s="0">
        <f>D4</f>
        <v/>
      </c>
      <c r="AK4" s="0">
        <f>D4</f>
        <v/>
      </c>
      <c r="AL4" s="0">
        <f>E4</f>
        <v/>
      </c>
      <c r="AM4" s="0">
        <f>E4</f>
        <v/>
      </c>
    </row>
    <row r="5" ht="16.5" customHeight="1" s="122">
      <c r="A5" s="7">
        <f>'[1]output data'!S8</f>
        <v/>
      </c>
      <c r="B5" s="8">
        <f>'[1]output data'!T8</f>
        <v/>
      </c>
      <c r="C5" s="7">
        <f>'[1]output data'!Y8</f>
        <v/>
      </c>
      <c r="D5" s="159">
        <f>A5+B5</f>
        <v/>
      </c>
      <c r="E5" s="159">
        <f>A5-B5</f>
        <v/>
      </c>
      <c r="F5" s="7">
        <f>C4</f>
        <v/>
      </c>
      <c r="G5" s="160">
        <f>E5</f>
        <v/>
      </c>
      <c r="H5" s="161">
        <f>C4</f>
        <v/>
      </c>
      <c r="I5" s="160">
        <f>D5</f>
        <v/>
      </c>
      <c r="J5" s="161">
        <f>C5</f>
        <v/>
      </c>
      <c r="K5" s="160">
        <f>D5</f>
        <v/>
      </c>
      <c r="L5" s="161">
        <f>C5</f>
        <v/>
      </c>
      <c r="M5" s="160">
        <f>E5</f>
        <v/>
      </c>
      <c r="N5" s="7">
        <f>C4</f>
        <v/>
      </c>
      <c r="O5" s="160">
        <f>E5</f>
        <v/>
      </c>
      <c r="P5" s="161">
        <f>C5</f>
        <v/>
      </c>
      <c r="Q5" s="161">
        <f>A5</f>
        <v/>
      </c>
      <c r="R5" s="161">
        <f>C5</f>
        <v/>
      </c>
      <c r="S5" s="161">
        <f>A6</f>
        <v/>
      </c>
      <c r="T5" s="7" t="n">
        <v>4</v>
      </c>
      <c r="V5" s="0">
        <f>C5</f>
        <v/>
      </c>
      <c r="W5" s="0">
        <f>C5</f>
        <v/>
      </c>
      <c r="X5" s="0">
        <f>D5</f>
        <v/>
      </c>
      <c r="Y5" s="0">
        <f>D6</f>
        <v/>
      </c>
      <c r="Z5" s="0">
        <f>C5</f>
        <v/>
      </c>
      <c r="AA5" s="0">
        <f>C5</f>
        <v/>
      </c>
      <c r="AB5" s="0">
        <f>E5</f>
        <v/>
      </c>
      <c r="AC5" s="0">
        <f>E6</f>
        <v/>
      </c>
      <c r="AD5" s="0">
        <f>C4</f>
        <v/>
      </c>
      <c r="AE5" s="0">
        <f>C4</f>
        <v/>
      </c>
      <c r="AF5" s="0">
        <f>C5</f>
        <v/>
      </c>
      <c r="AG5" s="0">
        <f>C5</f>
        <v/>
      </c>
      <c r="AH5" s="0">
        <f>C4</f>
        <v/>
      </c>
      <c r="AI5" s="0">
        <f>E5</f>
        <v/>
      </c>
      <c r="AJ5" s="0">
        <f>D5</f>
        <v/>
      </c>
      <c r="AK5" s="0">
        <f>D5</f>
        <v/>
      </c>
      <c r="AL5" s="0">
        <f>E5</f>
        <v/>
      </c>
      <c r="AM5" s="0">
        <f>E5</f>
        <v/>
      </c>
    </row>
    <row r="6" ht="16.5" customHeight="1" s="122">
      <c r="A6" s="7">
        <f>'[1]output data'!S9</f>
        <v/>
      </c>
      <c r="B6" s="8">
        <f>'[1]output data'!T9</f>
        <v/>
      </c>
      <c r="C6" s="7">
        <f>'[1]output data'!Y9</f>
        <v/>
      </c>
      <c r="D6" s="159">
        <f>A6+B6</f>
        <v/>
      </c>
      <c r="E6" s="159">
        <f>A6-B6</f>
        <v/>
      </c>
      <c r="F6" s="7">
        <f>C5</f>
        <v/>
      </c>
      <c r="G6" s="160">
        <f>E6</f>
        <v/>
      </c>
      <c r="H6" s="161">
        <f>C5</f>
        <v/>
      </c>
      <c r="I6" s="160">
        <f>D6</f>
        <v/>
      </c>
      <c r="J6" s="161">
        <f>C6</f>
        <v/>
      </c>
      <c r="K6" s="160">
        <f>D6</f>
        <v/>
      </c>
      <c r="L6" s="161">
        <f>C6</f>
        <v/>
      </c>
      <c r="M6" s="160">
        <f>E6</f>
        <v/>
      </c>
      <c r="N6" s="7">
        <f>C5</f>
        <v/>
      </c>
      <c r="O6" s="160">
        <f>E6</f>
        <v/>
      </c>
      <c r="P6" s="161">
        <f>C6</f>
        <v/>
      </c>
      <c r="Q6" s="161">
        <f>A6</f>
        <v/>
      </c>
      <c r="R6" s="161">
        <f>C6</f>
        <v/>
      </c>
      <c r="S6" s="161">
        <f>A7</f>
        <v/>
      </c>
      <c r="T6" s="7" t="n">
        <v>5</v>
      </c>
      <c r="V6" s="0">
        <f>C6</f>
        <v/>
      </c>
      <c r="W6" s="0">
        <f>C6</f>
        <v/>
      </c>
      <c r="X6" s="0">
        <f>D6</f>
        <v/>
      </c>
      <c r="Y6" s="0">
        <f>D7</f>
        <v/>
      </c>
      <c r="Z6" s="0">
        <f>C6</f>
        <v/>
      </c>
      <c r="AA6" s="0">
        <f>C6</f>
        <v/>
      </c>
      <c r="AB6" s="0">
        <f>E6</f>
        <v/>
      </c>
      <c r="AC6" s="0">
        <f>E7</f>
        <v/>
      </c>
      <c r="AD6" s="0">
        <f>C5</f>
        <v/>
      </c>
      <c r="AE6" s="0">
        <f>C5</f>
        <v/>
      </c>
      <c r="AF6" s="0">
        <f>C6</f>
        <v/>
      </c>
      <c r="AG6" s="0">
        <f>C6</f>
        <v/>
      </c>
      <c r="AH6" s="0">
        <f>C5</f>
        <v/>
      </c>
      <c r="AI6" s="0">
        <f>E6</f>
        <v/>
      </c>
      <c r="AJ6" s="0">
        <f>D6</f>
        <v/>
      </c>
      <c r="AK6" s="0">
        <f>D6</f>
        <v/>
      </c>
      <c r="AL6" s="0">
        <f>E6</f>
        <v/>
      </c>
      <c r="AM6" s="0">
        <f>E6</f>
        <v/>
      </c>
    </row>
    <row r="7" ht="16.5" customHeight="1" s="122">
      <c r="A7" s="7">
        <f>'[1]output data'!S10</f>
        <v/>
      </c>
      <c r="B7" s="8">
        <f>'[1]output data'!T10</f>
        <v/>
      </c>
      <c r="C7" s="7">
        <f>'[1]output data'!Y10</f>
        <v/>
      </c>
      <c r="D7" s="159">
        <f>A7+B7</f>
        <v/>
      </c>
      <c r="E7" s="159">
        <f>A7-B7</f>
        <v/>
      </c>
      <c r="F7" s="7">
        <f>C6</f>
        <v/>
      </c>
      <c r="G7" s="160">
        <f>E7</f>
        <v/>
      </c>
      <c r="H7" s="161">
        <f>C6</f>
        <v/>
      </c>
      <c r="I7" s="160">
        <f>D7</f>
        <v/>
      </c>
      <c r="J7" s="161">
        <f>C7</f>
        <v/>
      </c>
      <c r="K7" s="160">
        <f>D7</f>
        <v/>
      </c>
      <c r="L7" s="161">
        <f>C7</f>
        <v/>
      </c>
      <c r="M7" s="160">
        <f>E7</f>
        <v/>
      </c>
      <c r="N7" s="7">
        <f>C6</f>
        <v/>
      </c>
      <c r="O7" s="160">
        <f>E7</f>
        <v/>
      </c>
      <c r="P7" s="161">
        <f>C7</f>
        <v/>
      </c>
      <c r="Q7" s="161">
        <f>A7</f>
        <v/>
      </c>
      <c r="R7" s="161">
        <f>C7</f>
        <v/>
      </c>
      <c r="S7" s="161">
        <f>A8</f>
        <v/>
      </c>
      <c r="T7" s="7" t="n">
        <v>6</v>
      </c>
      <c r="V7" s="0">
        <f>C7</f>
        <v/>
      </c>
      <c r="W7" s="0">
        <f>C7</f>
        <v/>
      </c>
      <c r="X7" s="0">
        <f>D7</f>
        <v/>
      </c>
      <c r="Y7" s="0">
        <f>D8</f>
        <v/>
      </c>
      <c r="Z7" s="0">
        <f>C7</f>
        <v/>
      </c>
      <c r="AA7" s="0">
        <f>C7</f>
        <v/>
      </c>
      <c r="AB7" s="0">
        <f>E7</f>
        <v/>
      </c>
      <c r="AC7" s="0">
        <f>E8</f>
        <v/>
      </c>
      <c r="AD7" s="0">
        <f>C6</f>
        <v/>
      </c>
      <c r="AE7" s="0">
        <f>C6</f>
        <v/>
      </c>
      <c r="AF7" s="0">
        <f>C7</f>
        <v/>
      </c>
      <c r="AG7" s="0">
        <f>C7</f>
        <v/>
      </c>
      <c r="AH7" s="0">
        <f>C6</f>
        <v/>
      </c>
      <c r="AI7" s="0">
        <f>E7</f>
        <v/>
      </c>
      <c r="AJ7" s="0">
        <f>D7</f>
        <v/>
      </c>
      <c r="AK7" s="0">
        <f>D7</f>
        <v/>
      </c>
      <c r="AL7" s="0">
        <f>E7</f>
        <v/>
      </c>
      <c r="AM7" s="0">
        <f>E7</f>
        <v/>
      </c>
    </row>
    <row r="8" ht="16.5" customHeight="1" s="122">
      <c r="A8" s="7">
        <f>'[1]output data'!S11</f>
        <v/>
      </c>
      <c r="B8" s="8">
        <f>'[1]output data'!T11</f>
        <v/>
      </c>
      <c r="C8" s="7">
        <f>'[1]output data'!Y11</f>
        <v/>
      </c>
      <c r="D8" s="159">
        <f>A8+B8</f>
        <v/>
      </c>
      <c r="E8" s="159">
        <f>A8-B8</f>
        <v/>
      </c>
      <c r="F8" s="7">
        <f>C7</f>
        <v/>
      </c>
      <c r="G8" s="160">
        <f>E8</f>
        <v/>
      </c>
      <c r="H8" s="161">
        <f>C7</f>
        <v/>
      </c>
      <c r="I8" s="160">
        <f>D8</f>
        <v/>
      </c>
      <c r="J8" s="161">
        <f>C8</f>
        <v/>
      </c>
      <c r="K8" s="160">
        <f>D8</f>
        <v/>
      </c>
      <c r="L8" s="161">
        <f>C8</f>
        <v/>
      </c>
      <c r="M8" s="160">
        <f>E8</f>
        <v/>
      </c>
      <c r="N8" s="7">
        <f>C7</f>
        <v/>
      </c>
      <c r="O8" s="160">
        <f>E8</f>
        <v/>
      </c>
      <c r="P8" s="161">
        <f>C8</f>
        <v/>
      </c>
      <c r="Q8" s="161">
        <f>A8</f>
        <v/>
      </c>
      <c r="R8" s="161">
        <f>C8</f>
        <v/>
      </c>
      <c r="S8" s="161">
        <f>A9</f>
        <v/>
      </c>
      <c r="T8" s="7" t="n">
        <v>7</v>
      </c>
      <c r="V8" s="0">
        <f>C8</f>
        <v/>
      </c>
      <c r="W8" s="0">
        <f>C8</f>
        <v/>
      </c>
      <c r="X8" s="0">
        <f>D8</f>
        <v/>
      </c>
      <c r="Y8" s="0">
        <f>D9</f>
        <v/>
      </c>
      <c r="Z8" s="0">
        <f>C8</f>
        <v/>
      </c>
      <c r="AA8" s="0">
        <f>C8</f>
        <v/>
      </c>
      <c r="AB8" s="0">
        <f>E8</f>
        <v/>
      </c>
      <c r="AC8" s="0">
        <f>E9</f>
        <v/>
      </c>
      <c r="AD8" s="0">
        <f>C7</f>
        <v/>
      </c>
      <c r="AE8" s="0">
        <f>C7</f>
        <v/>
      </c>
      <c r="AF8" s="0">
        <f>C8</f>
        <v/>
      </c>
      <c r="AG8" s="0">
        <f>C8</f>
        <v/>
      </c>
      <c r="AH8" s="0">
        <f>C7</f>
        <v/>
      </c>
      <c r="AI8" s="0">
        <f>E8</f>
        <v/>
      </c>
      <c r="AJ8" s="0">
        <f>D8</f>
        <v/>
      </c>
      <c r="AK8" s="0">
        <f>D8</f>
        <v/>
      </c>
      <c r="AL8" s="0">
        <f>E8</f>
        <v/>
      </c>
      <c r="AM8" s="0">
        <f>E8</f>
        <v/>
      </c>
    </row>
    <row r="9" ht="16.5" customHeight="1" s="122">
      <c r="A9" s="7">
        <f>'[1]output data'!S12</f>
        <v/>
      </c>
      <c r="B9" s="8">
        <f>'[1]output data'!T12</f>
        <v/>
      </c>
      <c r="C9" s="7">
        <f>'[1]output data'!Y12</f>
        <v/>
      </c>
      <c r="D9" s="159">
        <f>A9+B9</f>
        <v/>
      </c>
      <c r="E9" s="159">
        <f>A9-B9</f>
        <v/>
      </c>
      <c r="F9" s="7">
        <f>C8</f>
        <v/>
      </c>
      <c r="G9" s="160">
        <f>E9</f>
        <v/>
      </c>
      <c r="H9" s="161">
        <f>C8</f>
        <v/>
      </c>
      <c r="I9" s="160">
        <f>D9</f>
        <v/>
      </c>
      <c r="J9" s="161">
        <f>C9</f>
        <v/>
      </c>
      <c r="K9" s="160">
        <f>D9</f>
        <v/>
      </c>
      <c r="L9" s="161">
        <f>C9</f>
        <v/>
      </c>
      <c r="M9" s="160">
        <f>E9</f>
        <v/>
      </c>
      <c r="N9" s="7">
        <f>C8</f>
        <v/>
      </c>
      <c r="O9" s="160">
        <f>E9</f>
        <v/>
      </c>
      <c r="P9" s="161">
        <f>C9</f>
        <v/>
      </c>
      <c r="Q9" s="161">
        <f>A9</f>
        <v/>
      </c>
      <c r="R9" s="161">
        <f>C9</f>
        <v/>
      </c>
      <c r="S9" s="161">
        <f>A10</f>
        <v/>
      </c>
      <c r="T9" s="7" t="n">
        <v>8</v>
      </c>
      <c r="V9" s="0">
        <f>C9</f>
        <v/>
      </c>
      <c r="W9" s="0">
        <f>C9</f>
        <v/>
      </c>
      <c r="X9" s="0">
        <f>D9</f>
        <v/>
      </c>
      <c r="Y9" s="0">
        <f>D10</f>
        <v/>
      </c>
      <c r="Z9" s="0">
        <f>C9</f>
        <v/>
      </c>
      <c r="AA9" s="0">
        <f>C9</f>
        <v/>
      </c>
      <c r="AB9" s="0">
        <f>E9</f>
        <v/>
      </c>
      <c r="AC9" s="0">
        <f>E10</f>
        <v/>
      </c>
      <c r="AD9" s="0">
        <f>C8</f>
        <v/>
      </c>
      <c r="AE9" s="0">
        <f>C8</f>
        <v/>
      </c>
      <c r="AF9" s="0">
        <f>C9</f>
        <v/>
      </c>
      <c r="AG9" s="0">
        <f>C9</f>
        <v/>
      </c>
      <c r="AH9" s="0">
        <f>C8</f>
        <v/>
      </c>
      <c r="AI9" s="0">
        <f>E9</f>
        <v/>
      </c>
      <c r="AJ9" s="0">
        <f>D9</f>
        <v/>
      </c>
      <c r="AK9" s="0">
        <f>D9</f>
        <v/>
      </c>
      <c r="AL9" s="0">
        <f>E9</f>
        <v/>
      </c>
      <c r="AM9" s="0">
        <f>E9</f>
        <v/>
      </c>
    </row>
    <row r="10" ht="16.5" customHeight="1" s="122">
      <c r="A10" s="7">
        <f>'[1]output data'!S13</f>
        <v/>
      </c>
      <c r="B10" s="8">
        <f>'[1]output data'!T13</f>
        <v/>
      </c>
      <c r="C10" s="7">
        <f>'[1]output data'!Y13</f>
        <v/>
      </c>
      <c r="D10" s="159">
        <f>A10+B10</f>
        <v/>
      </c>
      <c r="E10" s="159">
        <f>A10-B10</f>
        <v/>
      </c>
      <c r="F10" s="7">
        <f>C9</f>
        <v/>
      </c>
      <c r="G10" s="160">
        <f>E10</f>
        <v/>
      </c>
      <c r="H10" s="161">
        <f>C9</f>
        <v/>
      </c>
      <c r="I10" s="160">
        <f>D10</f>
        <v/>
      </c>
      <c r="J10" s="161">
        <f>C10</f>
        <v/>
      </c>
      <c r="K10" s="160">
        <f>D10</f>
        <v/>
      </c>
      <c r="L10" s="161">
        <f>C10</f>
        <v/>
      </c>
      <c r="M10" s="160">
        <f>E10</f>
        <v/>
      </c>
      <c r="N10" s="7">
        <f>C9</f>
        <v/>
      </c>
      <c r="O10" s="160">
        <f>E10</f>
        <v/>
      </c>
      <c r="P10" s="161">
        <f>C10</f>
        <v/>
      </c>
      <c r="Q10" s="161">
        <f>A10</f>
        <v/>
      </c>
      <c r="R10" s="161">
        <f>C10</f>
        <v/>
      </c>
      <c r="S10" s="161">
        <f>A11</f>
        <v/>
      </c>
      <c r="T10" s="7" t="n">
        <v>9</v>
      </c>
      <c r="V10" s="0">
        <f>C10</f>
        <v/>
      </c>
      <c r="W10" s="0">
        <f>C10</f>
        <v/>
      </c>
      <c r="X10" s="0">
        <f>D10</f>
        <v/>
      </c>
      <c r="Y10" s="0">
        <f>D11</f>
        <v/>
      </c>
      <c r="Z10" s="0">
        <f>C10</f>
        <v/>
      </c>
      <c r="AA10" s="0">
        <f>C10</f>
        <v/>
      </c>
      <c r="AB10" s="0">
        <f>E10</f>
        <v/>
      </c>
      <c r="AC10" s="0">
        <f>E11</f>
        <v/>
      </c>
      <c r="AD10" s="0">
        <f>C9</f>
        <v/>
      </c>
      <c r="AE10" s="0">
        <f>C9</f>
        <v/>
      </c>
      <c r="AF10" s="0">
        <f>C10</f>
        <v/>
      </c>
      <c r="AG10" s="0">
        <f>C10</f>
        <v/>
      </c>
      <c r="AH10" s="0">
        <f>C9</f>
        <v/>
      </c>
      <c r="AI10" s="0">
        <f>E10</f>
        <v/>
      </c>
      <c r="AJ10" s="0">
        <f>D10</f>
        <v/>
      </c>
      <c r="AK10" s="0">
        <f>D10</f>
        <v/>
      </c>
      <c r="AL10" s="0">
        <f>E10</f>
        <v/>
      </c>
      <c r="AM10" s="0">
        <f>E10</f>
        <v/>
      </c>
    </row>
    <row r="11" ht="16.5" customHeight="1" s="122">
      <c r="A11" s="7">
        <f>'[1]output data'!S14</f>
        <v/>
      </c>
      <c r="B11" s="8">
        <f>'[1]output data'!T14</f>
        <v/>
      </c>
      <c r="C11" s="7">
        <f>'[1]output data'!Y14</f>
        <v/>
      </c>
      <c r="D11" s="159">
        <f>A11+B11</f>
        <v/>
      </c>
      <c r="E11" s="159">
        <f>A11-B11</f>
        <v/>
      </c>
      <c r="F11" s="7">
        <f>C10</f>
        <v/>
      </c>
      <c r="G11" s="160">
        <f>E11</f>
        <v/>
      </c>
      <c r="H11" s="161">
        <f>C10</f>
        <v/>
      </c>
      <c r="I11" s="160">
        <f>D11</f>
        <v/>
      </c>
      <c r="J11" s="161">
        <f>C11</f>
        <v/>
      </c>
      <c r="K11" s="160">
        <f>D11</f>
        <v/>
      </c>
      <c r="L11" s="161">
        <f>C11</f>
        <v/>
      </c>
      <c r="M11" s="160">
        <f>E11</f>
        <v/>
      </c>
      <c r="N11" s="7">
        <f>C10</f>
        <v/>
      </c>
      <c r="O11" s="160">
        <f>E11</f>
        <v/>
      </c>
      <c r="P11" s="161">
        <f>C11</f>
        <v/>
      </c>
      <c r="Q11" s="161">
        <f>A11</f>
        <v/>
      </c>
      <c r="R11" s="161">
        <f>C11</f>
        <v/>
      </c>
      <c r="S11" s="161">
        <f>A12</f>
        <v/>
      </c>
      <c r="T11" s="7" t="n">
        <v>10</v>
      </c>
      <c r="V11" s="0">
        <f>C11</f>
        <v/>
      </c>
      <c r="W11" s="0">
        <f>C11</f>
        <v/>
      </c>
      <c r="X11" s="0">
        <f>D11</f>
        <v/>
      </c>
      <c r="Y11" s="0">
        <f>D12</f>
        <v/>
      </c>
      <c r="Z11" s="0">
        <f>C11</f>
        <v/>
      </c>
      <c r="AA11" s="0">
        <f>C11</f>
        <v/>
      </c>
      <c r="AB11" s="0">
        <f>E11</f>
        <v/>
      </c>
      <c r="AC11" s="0">
        <f>E12</f>
        <v/>
      </c>
      <c r="AD11" s="0">
        <f>C10</f>
        <v/>
      </c>
      <c r="AE11" s="0">
        <f>C10</f>
        <v/>
      </c>
      <c r="AF11" s="0">
        <f>C11</f>
        <v/>
      </c>
      <c r="AG11" s="0">
        <f>C11</f>
        <v/>
      </c>
      <c r="AH11" s="0">
        <f>C10</f>
        <v/>
      </c>
      <c r="AI11" s="0">
        <f>E11</f>
        <v/>
      </c>
      <c r="AJ11" s="0">
        <f>D11</f>
        <v/>
      </c>
      <c r="AK11" s="0">
        <f>D11</f>
        <v/>
      </c>
      <c r="AL11" s="0">
        <f>E11</f>
        <v/>
      </c>
      <c r="AM11" s="0">
        <f>E11</f>
        <v/>
      </c>
    </row>
    <row r="12" ht="16.5" customHeight="1" s="122">
      <c r="A12" s="7">
        <f>'[1]output data'!S15</f>
        <v/>
      </c>
      <c r="B12" s="8">
        <f>'[1]output data'!T15</f>
        <v/>
      </c>
      <c r="C12" s="7">
        <f>'[1]output data'!Y15</f>
        <v/>
      </c>
      <c r="D12" s="159">
        <f>A12+B12</f>
        <v/>
      </c>
      <c r="E12" s="159">
        <f>A12-B12</f>
        <v/>
      </c>
      <c r="F12" s="7">
        <f>C11</f>
        <v/>
      </c>
      <c r="G12" s="160">
        <f>E12</f>
        <v/>
      </c>
      <c r="H12" s="161">
        <f>C11</f>
        <v/>
      </c>
      <c r="I12" s="160">
        <f>D12</f>
        <v/>
      </c>
      <c r="J12" s="161">
        <f>C12</f>
        <v/>
      </c>
      <c r="K12" s="160">
        <f>D12</f>
        <v/>
      </c>
      <c r="L12" s="161">
        <f>C12</f>
        <v/>
      </c>
      <c r="M12" s="160">
        <f>E12</f>
        <v/>
      </c>
      <c r="N12" s="7">
        <f>C11</f>
        <v/>
      </c>
      <c r="O12" s="160">
        <f>E12</f>
        <v/>
      </c>
      <c r="P12" s="161">
        <f>C12</f>
        <v/>
      </c>
      <c r="Q12" s="161">
        <f>A12</f>
        <v/>
      </c>
      <c r="R12" s="161">
        <f>C12</f>
        <v/>
      </c>
      <c r="S12" s="161">
        <f>A13</f>
        <v/>
      </c>
      <c r="T12" s="7" t="n">
        <v>11</v>
      </c>
      <c r="V12" s="0">
        <f>C12</f>
        <v/>
      </c>
      <c r="W12" s="0">
        <f>C12</f>
        <v/>
      </c>
      <c r="X12" s="0">
        <f>D12</f>
        <v/>
      </c>
      <c r="Y12" s="0">
        <f>D13</f>
        <v/>
      </c>
      <c r="Z12" s="0">
        <f>C12</f>
        <v/>
      </c>
      <c r="AA12" s="0">
        <f>C12</f>
        <v/>
      </c>
      <c r="AB12" s="0">
        <f>E12</f>
        <v/>
      </c>
      <c r="AC12" s="0">
        <f>E13</f>
        <v/>
      </c>
      <c r="AD12" s="0">
        <f>C11</f>
        <v/>
      </c>
      <c r="AE12" s="0">
        <f>C11</f>
        <v/>
      </c>
      <c r="AF12" s="0">
        <f>C12</f>
        <v/>
      </c>
      <c r="AG12" s="0">
        <f>C12</f>
        <v/>
      </c>
      <c r="AH12" s="0">
        <f>C11</f>
        <v/>
      </c>
      <c r="AI12" s="0">
        <f>E12</f>
        <v/>
      </c>
      <c r="AJ12" s="0">
        <f>D12</f>
        <v/>
      </c>
      <c r="AK12" s="0">
        <f>D12</f>
        <v/>
      </c>
      <c r="AL12" s="0">
        <f>E12</f>
        <v/>
      </c>
      <c r="AM12" s="0">
        <f>E12</f>
        <v/>
      </c>
    </row>
    <row r="13" ht="16.5" customHeight="1" s="122">
      <c r="A13" s="7">
        <f>'[1]output data'!S16</f>
        <v/>
      </c>
      <c r="B13" s="8">
        <f>'[1]output data'!T16</f>
        <v/>
      </c>
      <c r="C13" s="7">
        <f>'[1]output data'!Y16</f>
        <v/>
      </c>
      <c r="D13" s="159">
        <f>A13+B13</f>
        <v/>
      </c>
      <c r="E13" s="159">
        <f>A13-B13</f>
        <v/>
      </c>
      <c r="F13" s="7">
        <f>C12</f>
        <v/>
      </c>
      <c r="G13" s="160">
        <f>E13</f>
        <v/>
      </c>
      <c r="H13" s="161">
        <f>C12</f>
        <v/>
      </c>
      <c r="I13" s="160">
        <f>D13</f>
        <v/>
      </c>
      <c r="J13" s="161">
        <f>C13</f>
        <v/>
      </c>
      <c r="K13" s="160">
        <f>D13</f>
        <v/>
      </c>
      <c r="L13" s="161">
        <f>C13</f>
        <v/>
      </c>
      <c r="M13" s="160">
        <f>E13</f>
        <v/>
      </c>
      <c r="N13" s="7">
        <f>C12</f>
        <v/>
      </c>
      <c r="O13" s="160">
        <f>E13</f>
        <v/>
      </c>
      <c r="P13" s="161">
        <f>C13</f>
        <v/>
      </c>
      <c r="Q13" s="161">
        <f>A13</f>
        <v/>
      </c>
      <c r="R13" s="161">
        <f>C13</f>
        <v/>
      </c>
      <c r="S13" s="161">
        <f>A14</f>
        <v/>
      </c>
      <c r="T13" s="7" t="n">
        <v>12</v>
      </c>
      <c r="V13" s="0">
        <f>C13</f>
        <v/>
      </c>
      <c r="W13" s="0">
        <f>C13</f>
        <v/>
      </c>
      <c r="X13" s="0">
        <f>D13</f>
        <v/>
      </c>
      <c r="Y13" s="0">
        <f>D14</f>
        <v/>
      </c>
      <c r="Z13" s="0">
        <f>C13</f>
        <v/>
      </c>
      <c r="AA13" s="0">
        <f>C13</f>
        <v/>
      </c>
      <c r="AB13" s="0">
        <f>E13</f>
        <v/>
      </c>
      <c r="AC13" s="0">
        <f>E14</f>
        <v/>
      </c>
      <c r="AD13" s="0">
        <f>C12</f>
        <v/>
      </c>
      <c r="AE13" s="0">
        <f>C12</f>
        <v/>
      </c>
      <c r="AF13" s="0">
        <f>C13</f>
        <v/>
      </c>
      <c r="AG13" s="0">
        <f>C13</f>
        <v/>
      </c>
      <c r="AH13" s="0">
        <f>C12</f>
        <v/>
      </c>
      <c r="AI13" s="0">
        <f>E13</f>
        <v/>
      </c>
      <c r="AJ13" s="0">
        <f>D13</f>
        <v/>
      </c>
      <c r="AK13" s="0">
        <f>D13</f>
        <v/>
      </c>
      <c r="AL13" s="0">
        <f>E13</f>
        <v/>
      </c>
      <c r="AM13" s="0">
        <f>E13</f>
        <v/>
      </c>
    </row>
    <row r="14" ht="16.5" customHeight="1" s="122">
      <c r="A14" s="7">
        <f>'[1]output data'!S17</f>
        <v/>
      </c>
      <c r="B14" s="8">
        <f>'[1]output data'!T17</f>
        <v/>
      </c>
      <c r="C14" s="7">
        <f>'[1]output data'!Y17</f>
        <v/>
      </c>
      <c r="D14" s="159">
        <f>A14+B14</f>
        <v/>
      </c>
      <c r="E14" s="159">
        <f>A14-B14</f>
        <v/>
      </c>
      <c r="F14" s="7">
        <f>C13</f>
        <v/>
      </c>
      <c r="G14" s="160">
        <f>E14</f>
        <v/>
      </c>
      <c r="H14" s="161">
        <f>C13</f>
        <v/>
      </c>
      <c r="I14" s="160">
        <f>D14</f>
        <v/>
      </c>
      <c r="J14" s="161">
        <f>C14</f>
        <v/>
      </c>
      <c r="K14" s="160">
        <f>D14</f>
        <v/>
      </c>
      <c r="L14" s="161">
        <f>C14</f>
        <v/>
      </c>
      <c r="M14" s="160">
        <f>E14</f>
        <v/>
      </c>
      <c r="N14" s="7">
        <f>C13</f>
        <v/>
      </c>
      <c r="O14" s="160">
        <f>E14</f>
        <v/>
      </c>
      <c r="P14" s="161">
        <f>C14</f>
        <v/>
      </c>
      <c r="Q14" s="161">
        <f>A14</f>
        <v/>
      </c>
      <c r="R14" s="161">
        <f>C14</f>
        <v/>
      </c>
      <c r="S14" s="161">
        <f>A15</f>
        <v/>
      </c>
      <c r="T14" s="7" t="n">
        <v>13</v>
      </c>
      <c r="V14" s="0">
        <f>C14</f>
        <v/>
      </c>
      <c r="W14" s="0">
        <f>C14</f>
        <v/>
      </c>
      <c r="X14" s="0">
        <f>D14</f>
        <v/>
      </c>
      <c r="Y14" s="0">
        <f>D15</f>
        <v/>
      </c>
      <c r="Z14" s="0">
        <f>C14</f>
        <v/>
      </c>
      <c r="AA14" s="0">
        <f>C14</f>
        <v/>
      </c>
      <c r="AB14" s="0">
        <f>E14</f>
        <v/>
      </c>
      <c r="AC14" s="0">
        <f>E15</f>
        <v/>
      </c>
      <c r="AD14" s="0">
        <f>C13</f>
        <v/>
      </c>
      <c r="AE14" s="0">
        <f>C13</f>
        <v/>
      </c>
      <c r="AF14" s="0">
        <f>C14</f>
        <v/>
      </c>
      <c r="AG14" s="0">
        <f>C14</f>
        <v/>
      </c>
      <c r="AH14" s="0">
        <f>C13</f>
        <v/>
      </c>
      <c r="AI14" s="0">
        <f>E14</f>
        <v/>
      </c>
      <c r="AJ14" s="0">
        <f>D14</f>
        <v/>
      </c>
      <c r="AK14" s="0">
        <f>D14</f>
        <v/>
      </c>
      <c r="AL14" s="0">
        <f>E14</f>
        <v/>
      </c>
      <c r="AM14" s="0">
        <f>E14</f>
        <v/>
      </c>
    </row>
    <row r="15" ht="16.5" customHeight="1" s="122">
      <c r="A15" s="7">
        <f>'[1]output data'!S18</f>
        <v/>
      </c>
      <c r="B15" s="8">
        <f>'[1]output data'!T18</f>
        <v/>
      </c>
      <c r="C15" s="7">
        <f>'[1]output data'!Y18</f>
        <v/>
      </c>
      <c r="D15" s="159">
        <f>A15+B15</f>
        <v/>
      </c>
      <c r="E15" s="159">
        <f>A15-B15</f>
        <v/>
      </c>
      <c r="F15" s="7">
        <f>C14</f>
        <v/>
      </c>
      <c r="G15" s="160">
        <f>E15</f>
        <v/>
      </c>
      <c r="H15" s="161">
        <f>C14</f>
        <v/>
      </c>
      <c r="I15" s="160">
        <f>D15</f>
        <v/>
      </c>
      <c r="J15" s="161">
        <f>C15</f>
        <v/>
      </c>
      <c r="K15" s="160">
        <f>D15</f>
        <v/>
      </c>
      <c r="L15" s="161">
        <f>C15</f>
        <v/>
      </c>
      <c r="M15" s="160">
        <f>E15</f>
        <v/>
      </c>
      <c r="N15" s="7">
        <f>C14</f>
        <v/>
      </c>
      <c r="O15" s="160">
        <f>E15</f>
        <v/>
      </c>
      <c r="P15" s="161">
        <f>C15</f>
        <v/>
      </c>
      <c r="Q15" s="161">
        <f>A15</f>
        <v/>
      </c>
      <c r="R15" s="161">
        <f>C15</f>
        <v/>
      </c>
      <c r="S15" s="161">
        <f>A16</f>
        <v/>
      </c>
      <c r="T15" s="7" t="n">
        <v>14</v>
      </c>
      <c r="V15" s="0">
        <f>C15</f>
        <v/>
      </c>
      <c r="W15" s="0">
        <f>C15</f>
        <v/>
      </c>
      <c r="X15" s="0">
        <f>D15</f>
        <v/>
      </c>
      <c r="Y15" s="0">
        <f>D16</f>
        <v/>
      </c>
      <c r="Z15" s="0">
        <f>C15</f>
        <v/>
      </c>
      <c r="AA15" s="0">
        <f>C15</f>
        <v/>
      </c>
      <c r="AB15" s="0">
        <f>E15</f>
        <v/>
      </c>
      <c r="AC15" s="0">
        <f>E16</f>
        <v/>
      </c>
      <c r="AD15" s="0">
        <f>C14</f>
        <v/>
      </c>
      <c r="AE15" s="0">
        <f>C14</f>
        <v/>
      </c>
      <c r="AF15" s="0">
        <f>C15</f>
        <v/>
      </c>
      <c r="AG15" s="0">
        <f>C15</f>
        <v/>
      </c>
      <c r="AH15" s="0">
        <f>C14</f>
        <v/>
      </c>
      <c r="AI15" s="0">
        <f>E15</f>
        <v/>
      </c>
      <c r="AJ15" s="0">
        <f>D15</f>
        <v/>
      </c>
      <c r="AK15" s="0">
        <f>D15</f>
        <v/>
      </c>
      <c r="AL15" s="0">
        <f>E15</f>
        <v/>
      </c>
      <c r="AM15" s="0">
        <f>E15</f>
        <v/>
      </c>
    </row>
    <row r="16" ht="16.5" customHeight="1" s="122">
      <c r="A16" s="7">
        <f>'[1]output data'!S19</f>
        <v/>
      </c>
      <c r="B16" s="8">
        <f>'[1]output data'!T19</f>
        <v/>
      </c>
      <c r="C16" s="7">
        <f>'[1]output data'!Y19</f>
        <v/>
      </c>
      <c r="D16" s="159">
        <f>A16+B16</f>
        <v/>
      </c>
      <c r="E16" s="159">
        <f>A16-B16</f>
        <v/>
      </c>
      <c r="F16" s="7">
        <f>C15</f>
        <v/>
      </c>
      <c r="G16" s="160">
        <f>E16</f>
        <v/>
      </c>
      <c r="H16" s="161">
        <f>C15</f>
        <v/>
      </c>
      <c r="I16" s="160">
        <f>D16</f>
        <v/>
      </c>
      <c r="J16" s="161">
        <f>C16</f>
        <v/>
      </c>
      <c r="K16" s="160">
        <f>D16</f>
        <v/>
      </c>
      <c r="L16" s="161">
        <f>C16</f>
        <v/>
      </c>
      <c r="M16" s="160">
        <f>E16</f>
        <v/>
      </c>
      <c r="N16" s="7">
        <f>C15</f>
        <v/>
      </c>
      <c r="O16" s="160">
        <f>E16</f>
        <v/>
      </c>
      <c r="P16" s="161">
        <f>C16</f>
        <v/>
      </c>
      <c r="Q16" s="161">
        <f>A16</f>
        <v/>
      </c>
      <c r="R16" s="161">
        <f>C16</f>
        <v/>
      </c>
      <c r="S16" s="161">
        <f>A16</f>
        <v/>
      </c>
      <c r="T16" s="7" t="n">
        <v>15</v>
      </c>
      <c r="Z16" s="0">
        <f>C15</f>
        <v/>
      </c>
      <c r="AA16" s="0">
        <f>C16</f>
        <v/>
      </c>
      <c r="AB16" s="0">
        <f>A16</f>
        <v/>
      </c>
      <c r="AC16" s="0">
        <f>A16</f>
        <v/>
      </c>
      <c r="AD16" s="0">
        <f>C15</f>
        <v/>
      </c>
      <c r="AE16" s="0">
        <f>C15</f>
        <v/>
      </c>
      <c r="AF16" s="0">
        <f>C16</f>
        <v/>
      </c>
      <c r="AG16" s="0">
        <f>C16</f>
        <v/>
      </c>
      <c r="AH16" s="0">
        <f>C15</f>
        <v/>
      </c>
      <c r="AI16" s="0">
        <f>E16</f>
        <v/>
      </c>
      <c r="AJ16" s="0">
        <f>D16</f>
        <v/>
      </c>
      <c r="AK16" s="0">
        <f>D16</f>
        <v/>
      </c>
      <c r="AL16" s="0">
        <f>E16</f>
        <v/>
      </c>
      <c r="AM16" s="0">
        <f>E16</f>
        <v/>
      </c>
    </row>
    <row r="17">
      <c r="G17" s="9" t="inlineStr">
        <is>
          <t>左下</t>
        </is>
      </c>
      <c r="I17" s="10" t="inlineStr">
        <is>
          <t>左上</t>
        </is>
      </c>
      <c r="K17" s="10" t="inlineStr">
        <is>
          <t>右上</t>
        </is>
      </c>
      <c r="M17" s="10" t="inlineStr">
        <is>
          <t>右下</t>
        </is>
      </c>
      <c r="O17" s="10" t="inlineStr">
        <is>
          <t>左下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龐麒修</dc:creator>
  <dcterms:created xmlns:dcterms="http://purl.org/dc/terms/" xmlns:xsi="http://www.w3.org/2001/XMLSchema-instance" xsi:type="dcterms:W3CDTF">2026-05-07T09:11:20Z</dcterms:created>
  <dcterms:modified xmlns:dcterms="http://purl.org/dc/terms/" xmlns:xsi="http://www.w3.org/2001/XMLSchema-instance" xsi:type="dcterms:W3CDTF">2026-05-07T16:45:48Z</dcterms:modified>
  <cp:lastModifiedBy>龐麒修</cp:lastModifiedBy>
</cp:coreProperties>
</file>